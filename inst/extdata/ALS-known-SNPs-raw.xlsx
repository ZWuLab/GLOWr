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eyangwu/ResearchProj/GLOWpipeline/legacy-materials/known_genes_snps_ALS/"/>
    </mc:Choice>
  </mc:AlternateContent>
  <xr:revisionPtr revIDLastSave="0" documentId="13_ncr:1_{593040E5-D90D-6B4E-AC1A-19988CA4E476}" xr6:coauthVersionLast="47" xr6:coauthVersionMax="47" xr10:uidLastSave="{00000000-0000-0000-0000-000000000000}"/>
  <bookViews>
    <workbookView xWindow="280" yWindow="760" windowWidth="2844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8" i="1" l="1" a="1"/>
  <c r="K18" i="1" s="1"/>
  <c r="K2" i="1" a="1"/>
  <c r="K2" i="1" s="1"/>
  <c r="K347" i="1"/>
  <c r="K325" i="1"/>
  <c r="K280" i="1"/>
  <c r="K239" i="1" a="1"/>
  <c r="K239" i="1" s="1"/>
  <c r="K232" i="1" a="1"/>
  <c r="K232" i="1" s="1"/>
  <c r="K230" i="1"/>
  <c r="K157" i="1"/>
  <c r="K156" i="1"/>
  <c r="K40" i="1" a="1"/>
  <c r="K40" i="1" s="1"/>
  <c r="K29" i="1" a="1"/>
  <c r="K29" i="1" s="1"/>
  <c r="K25" i="1" a="1"/>
  <c r="K25" i="1" s="1"/>
  <c r="I23" i="1"/>
  <c r="I19" i="1"/>
  <c r="I18" i="1"/>
  <c r="I12" i="1"/>
  <c r="I134" i="1" l="1"/>
  <c r="I140" i="1"/>
  <c r="I141" i="1"/>
  <c r="I129" i="1"/>
  <c r="I128" i="1"/>
  <c r="I127" i="1"/>
  <c r="I125" i="1"/>
  <c r="I24" i="1"/>
  <c r="I21" i="1"/>
  <c r="I353" i="1" l="1"/>
  <c r="K353" i="1" s="1"/>
  <c r="I351" i="1"/>
  <c r="I350" i="1"/>
  <c r="I349" i="1"/>
  <c r="I348" i="1"/>
  <c r="K348" i="1" l="1" a="1"/>
  <c r="K34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<sst xmlns="http://schemas.openxmlformats.org/spreadsheetml/2006/main" count="4128" uniqueCount="792">
  <si>
    <t>riskAllele</t>
  </si>
  <si>
    <t>P-value</t>
  </si>
  <si>
    <t>P-value annotation</t>
  </si>
  <si>
    <t>RAF</t>
  </si>
  <si>
    <t>OR</t>
  </si>
  <si>
    <t>Beta</t>
  </si>
  <si>
    <t>CI</t>
  </si>
  <si>
    <t>Mapped gene</t>
  </si>
  <si>
    <t>Reported trait</t>
  </si>
  <si>
    <t>Trait(s)</t>
  </si>
  <si>
    <t>Study accession</t>
  </si>
  <si>
    <t>PubMed ID</t>
  </si>
  <si>
    <t>First Author</t>
  </si>
  <si>
    <t>chr</t>
  </si>
  <si>
    <t>pos</t>
  </si>
  <si>
    <t>rs75087725</t>
  </si>
  <si>
    <t>'-</t>
  </si>
  <si>
    <t>[1.31-1.66]</t>
  </si>
  <si>
    <t>CFAP410</t>
  </si>
  <si>
    <t>Amyotrophic lateral sclerosis</t>
  </si>
  <si>
    <t>amyotrophic lateral sclerosis</t>
  </si>
  <si>
    <t>GCST004692</t>
  </si>
  <si>
    <t>van Rheenen W</t>
  </si>
  <si>
    <t>rs616147</t>
  </si>
  <si>
    <t>[1.07-1.14]</t>
  </si>
  <si>
    <t>MOBP</t>
  </si>
  <si>
    <t>rs10139154</t>
  </si>
  <si>
    <t>[1.06-1.12]</t>
  </si>
  <si>
    <t>SCFD1</t>
  </si>
  <si>
    <t>rs74654358</t>
  </si>
  <si>
    <t>(linear mixed model)</t>
  </si>
  <si>
    <t>[NR]</t>
  </si>
  <si>
    <t>TBK1</t>
  </si>
  <si>
    <t>rs3849943</t>
  </si>
  <si>
    <t>C9orf72</t>
  </si>
  <si>
    <t>rs12608932</t>
  </si>
  <si>
    <t>UNC13A</t>
  </si>
  <si>
    <t>rs35714695</t>
  </si>
  <si>
    <t>SARM1</t>
  </si>
  <si>
    <t>rs3849942</t>
  </si>
  <si>
    <t>[1.12 – 1.31]</t>
  </si>
  <si>
    <t>GCST008978</t>
  </si>
  <si>
    <t>Dekker AM</t>
  </si>
  <si>
    <t>rs2619566</t>
  </si>
  <si>
    <t>(age of onset)</t>
  </si>
  <si>
    <t>3.03 years decrease</t>
  </si>
  <si>
    <t>[1.71-4.35]</t>
  </si>
  <si>
    <t>GCST000406</t>
  </si>
  <si>
    <t>Landers JE</t>
  </si>
  <si>
    <t>rs16856202</t>
  </si>
  <si>
    <t>(susceptibilty)</t>
  </si>
  <si>
    <t>DISC1</t>
  </si>
  <si>
    <t>rs873917</t>
  </si>
  <si>
    <t>NT5C1A</t>
  </si>
  <si>
    <t>rs7577894</t>
  </si>
  <si>
    <t>(site of onset)</t>
  </si>
  <si>
    <t>PNPT1, EFEMP1</t>
  </si>
  <si>
    <t>rs10438933</t>
  </si>
  <si>
    <t>RN7SKP44, B4GALT6</t>
  </si>
  <si>
    <t>rs8066857</t>
  </si>
  <si>
    <t>SLC39A11</t>
  </si>
  <si>
    <t>rs697739</t>
  </si>
  <si>
    <t>2.04 years decrease</t>
  </si>
  <si>
    <t>[1.18-2.90]</t>
  </si>
  <si>
    <t>ATXN1</t>
  </si>
  <si>
    <t>(survival)</t>
  </si>
  <si>
    <t>0.51 years increase</t>
  </si>
  <si>
    <t>[0.46-0.56]</t>
  </si>
  <si>
    <t>SELL, C1orf112</t>
  </si>
  <si>
    <t>rs2823962</t>
  </si>
  <si>
    <t>MIR99AHG, RNU1-98P</t>
  </si>
  <si>
    <t>rs1541160</t>
  </si>
  <si>
    <t>0.58 years increase</t>
  </si>
  <si>
    <t>[0.38-0.78]</t>
  </si>
  <si>
    <t>KIFAP3</t>
  </si>
  <si>
    <t>rs3099950</t>
  </si>
  <si>
    <t>MORN2</t>
  </si>
  <si>
    <t>rs11241713</t>
  </si>
  <si>
    <t>0.79 years increase</t>
  </si>
  <si>
    <t>[0.46-1.12]</t>
  </si>
  <si>
    <t>rs855913</t>
  </si>
  <si>
    <t>1.08 years increase</t>
  </si>
  <si>
    <t>[0.70-1.46]</t>
  </si>
  <si>
    <t>ZNF767P, ZNF746</t>
  </si>
  <si>
    <t>rs7702057</t>
  </si>
  <si>
    <t>COMMD10</t>
  </si>
  <si>
    <t>rs13015447</t>
  </si>
  <si>
    <t>SCN7A</t>
  </si>
  <si>
    <t>rs10192369</t>
  </si>
  <si>
    <t>CREB1, RBMS1</t>
  </si>
  <si>
    <t>rs7019351</t>
  </si>
  <si>
    <t>MOB3B</t>
  </si>
  <si>
    <t>GCST007146</t>
  </si>
  <si>
    <t>McLaughlin RL</t>
  </si>
  <si>
    <t>rs2185341</t>
  </si>
  <si>
    <t>PPIAP34, ZBTB40</t>
  </si>
  <si>
    <t>GCST003175</t>
  </si>
  <si>
    <t>Chen CJ</t>
  </si>
  <si>
    <t>rs3772760</t>
  </si>
  <si>
    <t>KALRN</t>
  </si>
  <si>
    <t>rs4879628</t>
  </si>
  <si>
    <t>APTX</t>
  </si>
  <si>
    <t>rs11224052</t>
  </si>
  <si>
    <t>LINC02697</t>
  </si>
  <si>
    <t>rs2785946</t>
  </si>
  <si>
    <t>RPL13AP25, MIR1297</t>
  </si>
  <si>
    <t>rs9953769</t>
  </si>
  <si>
    <t>LINC02582</t>
  </si>
  <si>
    <t>rs4799088</t>
  </si>
  <si>
    <t>CTDP1, KCNG2</t>
  </si>
  <si>
    <t>GCST000820</t>
  </si>
  <si>
    <t>Shatunov A</t>
  </si>
  <si>
    <t>rs1488902</t>
  </si>
  <si>
    <t>FOLH1B</t>
  </si>
  <si>
    <t>C9orf72; C9orf72</t>
  </si>
  <si>
    <t>rs16984239</t>
  </si>
  <si>
    <t>[1.50-3.00]</t>
  </si>
  <si>
    <t>KCNS3</t>
  </si>
  <si>
    <t>GCST000013</t>
  </si>
  <si>
    <t>Schymick JC</t>
  </si>
  <si>
    <t>rs11099864</t>
  </si>
  <si>
    <t>[0.80-1.40]</t>
  </si>
  <si>
    <t>FHDC1</t>
  </si>
  <si>
    <t>rs4363506</t>
  </si>
  <si>
    <t>[1.50-2.40]</t>
  </si>
  <si>
    <t>rs12680546</t>
  </si>
  <si>
    <t>[1.25-2.00]</t>
  </si>
  <si>
    <t>LINC02055</t>
  </si>
  <si>
    <t>rs6013382</t>
  </si>
  <si>
    <t>[1.11-1.67]</t>
  </si>
  <si>
    <t>ZFP64</t>
  </si>
  <si>
    <t>rs2782931</t>
  </si>
  <si>
    <t>[0.91-1.43]</t>
  </si>
  <si>
    <t>SUSD1</t>
  </si>
  <si>
    <t>rs10260404</t>
  </si>
  <si>
    <t>[1.20-1.56]</t>
  </si>
  <si>
    <t>DPP6</t>
  </si>
  <si>
    <t>GCST000126</t>
  </si>
  <si>
    <t>Cronin S</t>
  </si>
  <si>
    <t>GCST000260</t>
  </si>
  <si>
    <t>rs2303565</t>
  </si>
  <si>
    <t>(Meta)</t>
  </si>
  <si>
    <t>[1.1-1.24]</t>
  </si>
  <si>
    <t>STK36</t>
  </si>
  <si>
    <t>GCST001664</t>
  </si>
  <si>
    <t>Ahmeti KB</t>
  </si>
  <si>
    <t>rs7607369</t>
  </si>
  <si>
    <t>[1.08-1.24]</t>
  </si>
  <si>
    <t>VIL1, CTDSP1</t>
  </si>
  <si>
    <t>rs1320900</t>
  </si>
  <si>
    <t>(Joint)</t>
  </si>
  <si>
    <t>[1.09-1.3]</t>
  </si>
  <si>
    <t>CPNE4</t>
  </si>
  <si>
    <t>rs7665939</t>
  </si>
  <si>
    <t>[1.11-1.39]</t>
  </si>
  <si>
    <t>rs6918777</t>
  </si>
  <si>
    <t>[1.08-1.22]</t>
  </si>
  <si>
    <t>U3, LINC02531</t>
  </si>
  <si>
    <t>rs4917300</t>
  </si>
  <si>
    <t>[1.14-1.42]</t>
  </si>
  <si>
    <t>[1.11-1.33]</t>
  </si>
  <si>
    <t>rs4529888</t>
  </si>
  <si>
    <t>[1.06-1.22]</t>
  </si>
  <si>
    <t>LINC02712</t>
  </si>
  <si>
    <t>rs2006933</t>
  </si>
  <si>
    <t>[1.16-1.37]</t>
  </si>
  <si>
    <t>PPY2P, KRT18P55</t>
  </si>
  <si>
    <t>rs11082762</t>
  </si>
  <si>
    <t>[1.09-1.24]</t>
  </si>
  <si>
    <t>LAMA3</t>
  </si>
  <si>
    <t>[1.21-1.56]</t>
  </si>
  <si>
    <t>rs1923626</t>
  </si>
  <si>
    <t>[1.14-1.37]</t>
  </si>
  <si>
    <t>LINC01741</t>
  </si>
  <si>
    <t>Amyotrophic lateral sclerosis (C9orf72 mutation interaction)</t>
  </si>
  <si>
    <t>GCST004791</t>
  </si>
  <si>
    <t>rs7729723</t>
  </si>
  <si>
    <t>[1.14-1.38]</t>
  </si>
  <si>
    <t>EGR1, REEP2</t>
  </si>
  <si>
    <t>rs4913250</t>
  </si>
  <si>
    <t>[1.33-2.13]</t>
  </si>
  <si>
    <t>LINC02408</t>
  </si>
  <si>
    <t>rs2838568</t>
  </si>
  <si>
    <t>[1.19-1.45]</t>
  </si>
  <si>
    <t>LINC02575, MTND5P1</t>
  </si>
  <si>
    <t>Amyotrophic lateral sclerosis in C9orf72 mutation negative individuals</t>
  </si>
  <si>
    <t>GCST004793</t>
  </si>
  <si>
    <t>rs524675</t>
  </si>
  <si>
    <t>[1.25-1.69]</t>
  </si>
  <si>
    <t>LINC01182</t>
  </si>
  <si>
    <t>rs42714</t>
  </si>
  <si>
    <t>[1.33-2]</t>
  </si>
  <si>
    <t>CREB5</t>
  </si>
  <si>
    <t>rs11096913</t>
  </si>
  <si>
    <t>[1.22-1.64]</t>
  </si>
  <si>
    <t>TBC1D1</t>
  </si>
  <si>
    <t>[1.18-1.45]</t>
  </si>
  <si>
    <t>Amyotrophic lateral sclerosis in C9orf72 mutation positive individuals</t>
  </si>
  <si>
    <t>GCST004792</t>
  </si>
  <si>
    <t>[1.13-1.31]</t>
  </si>
  <si>
    <t>rs4877387</t>
  </si>
  <si>
    <t>[1.11-1.31]</t>
  </si>
  <si>
    <t>KRT18P24</t>
  </si>
  <si>
    <t>rs1510510</t>
  </si>
  <si>
    <t>[1.16-1.45]</t>
  </si>
  <si>
    <t>LINC01937</t>
  </si>
  <si>
    <t>rs10870270</t>
  </si>
  <si>
    <t>PPP2R2D</t>
  </si>
  <si>
    <t>rs2199351</t>
  </si>
  <si>
    <t>[1.11-1.3]</t>
  </si>
  <si>
    <t>rs9533799</t>
  </si>
  <si>
    <t>SMIM2-AS1</t>
  </si>
  <si>
    <t>rs1971791</t>
  </si>
  <si>
    <t>[1.14-1.4]</t>
  </si>
  <si>
    <t>ANKRD34C-AS1, RNU6-745P</t>
  </si>
  <si>
    <t>rs8056742</t>
  </si>
  <si>
    <t>[1.14-1.41]</t>
  </si>
  <si>
    <t>KIAA0513</t>
  </si>
  <si>
    <t>rs7477</t>
  </si>
  <si>
    <t>[1.16-1.44]</t>
  </si>
  <si>
    <t>CENPV, PIGL</t>
  </si>
  <si>
    <t>rs2405657</t>
  </si>
  <si>
    <t>LINC02713</t>
  </si>
  <si>
    <t>GCST000481</t>
  </si>
  <si>
    <t>van Es MA</t>
  </si>
  <si>
    <t>rs9971637</t>
  </si>
  <si>
    <t>RPL7P40</t>
  </si>
  <si>
    <t>rs774359</t>
  </si>
  <si>
    <t>rs5916687</t>
  </si>
  <si>
    <t>rs5937496</t>
  </si>
  <si>
    <t>PBDC1, ARL5AP5</t>
  </si>
  <si>
    <t>rs2814707</t>
  </si>
  <si>
    <t>rs2306677</t>
  </si>
  <si>
    <t>[1.30-1.91]</t>
  </si>
  <si>
    <t>ITPR2</t>
  </si>
  <si>
    <t>GCST000072</t>
  </si>
  <si>
    <t>[1.72-2.70]</t>
  </si>
  <si>
    <t>GCST000781</t>
  </si>
  <si>
    <t>Laaksovirta H</t>
  </si>
  <si>
    <t>rs13048019</t>
  </si>
  <si>
    <t>[1.61-2.53]</t>
  </si>
  <si>
    <t>TIAM1</t>
  </si>
  <si>
    <t>rs6703183</t>
  </si>
  <si>
    <t>CAMK1G</t>
  </si>
  <si>
    <t>GCST001981</t>
  </si>
  <si>
    <t>Deng M</t>
  </si>
  <si>
    <t>rs8141797</t>
  </si>
  <si>
    <t>SUSD2</t>
  </si>
  <si>
    <t>rs2278170</t>
  </si>
  <si>
    <t>(outcome)</t>
  </si>
  <si>
    <t>[1.25-1.67]</t>
  </si>
  <si>
    <t>OR52K3P</t>
  </si>
  <si>
    <t>GCST001460</t>
  </si>
  <si>
    <t>Kwee LC</t>
  </si>
  <si>
    <t>rs3113494</t>
  </si>
  <si>
    <t>C4orf36, AFF1</t>
  </si>
  <si>
    <t>[1.18-1.43]</t>
  </si>
  <si>
    <t>GCST000127</t>
  </si>
  <si>
    <t>rs3825776</t>
  </si>
  <si>
    <t>[1.20-1.46]</t>
  </si>
  <si>
    <t>ALDH1A2, LIPC, LIPC-AS1</t>
  </si>
  <si>
    <t>rs7580332</t>
  </si>
  <si>
    <t>[1.09-1.35]</t>
  </si>
  <si>
    <t>GCST002509</t>
  </si>
  <si>
    <t>Diekstra FP</t>
  </si>
  <si>
    <t>rs13268726</t>
  </si>
  <si>
    <t>SQLE</t>
  </si>
  <si>
    <t>rs7638688</t>
  </si>
  <si>
    <t>NME9</t>
  </si>
  <si>
    <t>rs10233425</t>
  </si>
  <si>
    <t>rs3736947</t>
  </si>
  <si>
    <t>[1.073-1.101]</t>
  </si>
  <si>
    <t>ACSL5</t>
  </si>
  <si>
    <t>GCST010857</t>
  </si>
  <si>
    <t>Nakamura R</t>
  </si>
  <si>
    <t>rs12145183</t>
  </si>
  <si>
    <t>NR</t>
  </si>
  <si>
    <t>TYW3</t>
  </si>
  <si>
    <t>GCST009529</t>
  </si>
  <si>
    <t>Wei L</t>
  </si>
  <si>
    <t>rs1419311</t>
  </si>
  <si>
    <t>LINC02422, RNU6-1069P</t>
  </si>
  <si>
    <t>rs1483023</t>
  </si>
  <si>
    <t>NPAP1P6</t>
  </si>
  <si>
    <t>rs9610216</t>
  </si>
  <si>
    <t>YPEL1, MAPK1</t>
  </si>
  <si>
    <t>rs1722923</t>
  </si>
  <si>
    <t>LINC01287</t>
  </si>
  <si>
    <t>rs10463311</t>
  </si>
  <si>
    <t>(EA)</t>
  </si>
  <si>
    <t>[1.05-1.12]</t>
  </si>
  <si>
    <t>TNIP1</t>
  </si>
  <si>
    <t>GCST005647</t>
  </si>
  <si>
    <t>Nicolas A</t>
  </si>
  <si>
    <t>[1.16-1.23]</t>
  </si>
  <si>
    <t>[1.14-1.30]</t>
  </si>
  <si>
    <t>rs12973192</t>
  </si>
  <si>
    <t>[1.1-1.16]</t>
  </si>
  <si>
    <t>[1.46-1.91]</t>
  </si>
  <si>
    <t>rs113247976</t>
  </si>
  <si>
    <t>[1.33-1.45]</t>
  </si>
  <si>
    <t>KIF5A</t>
  </si>
  <si>
    <t>rs17070492</t>
  </si>
  <si>
    <t>[1.08-1.19]</t>
  </si>
  <si>
    <t>[1.05-1.11]</t>
  </si>
  <si>
    <t>rs10143310</t>
  </si>
  <si>
    <t>ATXN3</t>
  </si>
  <si>
    <t>rs9901522</t>
  </si>
  <si>
    <t>[1.10-1.22]</t>
  </si>
  <si>
    <t>RPS18P12, LINC02096</t>
  </si>
  <si>
    <t>rs62333164</t>
  </si>
  <si>
    <t>0.063 unit increase</t>
  </si>
  <si>
    <t>[0.039-0.087]</t>
  </si>
  <si>
    <t>CLCN3</t>
  </si>
  <si>
    <t>GCST90027164</t>
  </si>
  <si>
    <t>rs2985994</t>
  </si>
  <si>
    <t>0.066 unit increase</t>
  </si>
  <si>
    <t>[0.041-0.091]</t>
  </si>
  <si>
    <t>ERICH6B</t>
  </si>
  <si>
    <t>rs10280711</t>
  </si>
  <si>
    <t>0.076 unit increase</t>
  </si>
  <si>
    <t>[0.043-0.109]</t>
  </si>
  <si>
    <t>PTPRN2</t>
  </si>
  <si>
    <t>rs631312</t>
  </si>
  <si>
    <t>0.08 unit increase</t>
  </si>
  <si>
    <t>[0.058-0.102]</t>
  </si>
  <si>
    <t>GCST90027163</t>
  </si>
  <si>
    <t>0.07 unit increase</t>
  </si>
  <si>
    <t>[0.046-0.094]</t>
  </si>
  <si>
    <t>[0.06-0.1]</t>
  </si>
  <si>
    <t>rs517339</t>
  </si>
  <si>
    <t>0.06 unit decrease</t>
  </si>
  <si>
    <t>[0.038-0.082]</t>
  </si>
  <si>
    <t>ERGIC1</t>
  </si>
  <si>
    <t>rs9275477</t>
  </si>
  <si>
    <t>0.142 unit decrease</t>
  </si>
  <si>
    <t>[0.1-0.18]</t>
  </si>
  <si>
    <t>HLA-DQB1, MTCO3P1</t>
  </si>
  <si>
    <t>0.086 unit increase</t>
  </si>
  <si>
    <t>[0.057-0.115]</t>
  </si>
  <si>
    <t>rs2453555</t>
  </si>
  <si>
    <t>0.17 unit increase</t>
  </si>
  <si>
    <t>[0.15-0.19]</t>
  </si>
  <si>
    <t>rs4075094</t>
  </si>
  <si>
    <t>0.1 unit decrease</t>
  </si>
  <si>
    <t>[0.061-0.139]</t>
  </si>
  <si>
    <t>0.12 unit increase</t>
  </si>
  <si>
    <t>[0.1-0.14]</t>
  </si>
  <si>
    <t>rs17785991</t>
  </si>
  <si>
    <t>SLC9A8</t>
  </si>
  <si>
    <t>rs58854276</t>
  </si>
  <si>
    <t>0.06 unit increase</t>
  </si>
  <si>
    <t>[0.04-0.08]</t>
  </si>
  <si>
    <t>0.174 unit increase</t>
  </si>
  <si>
    <t>[0.15-0.2]</t>
  </si>
  <si>
    <t>0.125 unit increase</t>
  </si>
  <si>
    <t>[0.1-0.15]</t>
  </si>
  <si>
    <t>rs80265967</t>
  </si>
  <si>
    <t>1.078 unit increase</t>
  </si>
  <si>
    <t>[0.83-1.32]</t>
  </si>
  <si>
    <t>SOD1</t>
  </si>
  <si>
    <t>rs229195</t>
  </si>
  <si>
    <t>0.091 unit increase</t>
  </si>
  <si>
    <t>[0.067-0.115]</t>
  </si>
  <si>
    <t>G2E3</t>
  </si>
  <si>
    <t>rs229194</t>
  </si>
  <si>
    <t>0.079 unit increase</t>
  </si>
  <si>
    <t>[0.055-0.103]</t>
  </si>
  <si>
    <t>0.143 unit decrease</t>
  </si>
  <si>
    <t>0.332 unit increase</t>
  </si>
  <si>
    <t>[0.24-0.43]</t>
  </si>
  <si>
    <t>0.418 unit increase</t>
  </si>
  <si>
    <t>[0.29-0.54]</t>
  </si>
  <si>
    <t>[0.054-0.104]</t>
  </si>
  <si>
    <t>0.074 unit increase</t>
  </si>
  <si>
    <t>[0.05-0.098]</t>
  </si>
  <si>
    <t>0.098 unit decrease</t>
  </si>
  <si>
    <t>[0.063-0.133]</t>
  </si>
  <si>
    <t>0.065 unit decrease</t>
  </si>
  <si>
    <t>[0.043-0.087]</t>
  </si>
  <si>
    <t>0.0215 unit decrease</t>
  </si>
  <si>
    <t>[0.015-0.028]</t>
  </si>
  <si>
    <t>Amyotrophic lateral sclerosis (sporadic)</t>
  </si>
  <si>
    <t>sporadic amyotrophic lateral sclerosis</t>
  </si>
  <si>
    <t>GCST004901</t>
  </si>
  <si>
    <t>Benyamin B</t>
  </si>
  <si>
    <t>0.0388 unit increase</t>
  </si>
  <si>
    <t>[0.031-0.046]</t>
  </si>
  <si>
    <t>0.0281 unit increase</t>
  </si>
  <si>
    <t>[0.019-0.037]</t>
  </si>
  <si>
    <t>0.02 unit increase</t>
  </si>
  <si>
    <t>[0.013-0.027]</t>
  </si>
  <si>
    <t>GCST002283</t>
  </si>
  <si>
    <t>Fogh I</t>
  </si>
  <si>
    <t>rs34517613</t>
  </si>
  <si>
    <t>[1.12-1.29]</t>
  </si>
  <si>
    <t>KRT18P55</t>
  </si>
  <si>
    <t>rs1788776</t>
  </si>
  <si>
    <t>[1.06-1.16]</t>
  </si>
  <si>
    <t>RPS10P27, ANKRD29</t>
  </si>
  <si>
    <t>kgp16779402</t>
  </si>
  <si>
    <t>GCST002337</t>
  </si>
  <si>
    <t>Xie T</t>
  </si>
  <si>
    <t>rs9599848</t>
  </si>
  <si>
    <t>DACH1</t>
  </si>
  <si>
    <t>rs11590421</t>
  </si>
  <si>
    <t>LINC01685</t>
  </si>
  <si>
    <t>rs7601234</t>
  </si>
  <si>
    <t>HOXD10</t>
  </si>
  <si>
    <t>rs1199333</t>
  </si>
  <si>
    <t>MRAS</t>
  </si>
  <si>
    <t>kgp22272527</t>
  </si>
  <si>
    <t>kgp12432823</t>
  </si>
  <si>
    <t>rs4148112</t>
  </si>
  <si>
    <t>ABCG1</t>
  </si>
  <si>
    <t>rs4482178</t>
  </si>
  <si>
    <t>LINC00351</t>
  </si>
  <si>
    <t>kgp9019123</t>
  </si>
  <si>
    <t>rs12891047</t>
  </si>
  <si>
    <t>ZFYVE26</t>
  </si>
  <si>
    <t>rs10131300</t>
  </si>
  <si>
    <t>RGS6</t>
  </si>
  <si>
    <t>rs10145110</t>
  </si>
  <si>
    <t>MEG8</t>
  </si>
  <si>
    <t>kgp1211864</t>
  </si>
  <si>
    <t>kgp4318399</t>
  </si>
  <si>
    <t>rs16945894</t>
  </si>
  <si>
    <t>ABCC12</t>
  </si>
  <si>
    <t>kgp2212848</t>
  </si>
  <si>
    <t>rs730547</t>
  </si>
  <si>
    <t>kgp7768961</t>
  </si>
  <si>
    <t>rs16975050</t>
  </si>
  <si>
    <t>KC6</t>
  </si>
  <si>
    <t>rs529445</t>
  </si>
  <si>
    <t>NEDD4L</t>
  </si>
  <si>
    <t>kgp21389895</t>
  </si>
  <si>
    <t>kgp4528686</t>
  </si>
  <si>
    <t>rs6137726</t>
  </si>
  <si>
    <t>KRT18P3, LINC01747</t>
  </si>
  <si>
    <t>rs4809847</t>
  </si>
  <si>
    <t>NFATC2</t>
  </si>
  <si>
    <t>rs982274</t>
  </si>
  <si>
    <t>CHODL</t>
  </si>
  <si>
    <t>kgp2964336</t>
  </si>
  <si>
    <t>rs4824093</t>
  </si>
  <si>
    <t>C22orf34, RN7SKP252</t>
  </si>
  <si>
    <t>kgp20880378</t>
  </si>
  <si>
    <t>rs2972219</t>
  </si>
  <si>
    <t>LINC02215</t>
  </si>
  <si>
    <t>rs2457174</t>
  </si>
  <si>
    <t>WSPAR</t>
  </si>
  <si>
    <t>rs1981626</t>
  </si>
  <si>
    <t>ASS1P10</t>
  </si>
  <si>
    <t>kgp11281939</t>
  </si>
  <si>
    <t>rs2492937</t>
  </si>
  <si>
    <t>TAF8</t>
  </si>
  <si>
    <t>rs4424056</t>
  </si>
  <si>
    <t>kgp4511292</t>
  </si>
  <si>
    <t>kgp2658440</t>
  </si>
  <si>
    <t>kgp4013449</t>
  </si>
  <si>
    <t>kgp13465360</t>
  </si>
  <si>
    <t>rs8192851</t>
  </si>
  <si>
    <t>TBXAS1</t>
  </si>
  <si>
    <t>kgp10355073</t>
  </si>
  <si>
    <t>kgp11397831</t>
  </si>
  <si>
    <t>kgp8748106</t>
  </si>
  <si>
    <t>rs10501765</t>
  </si>
  <si>
    <t>LINC02756, TUBB4BP4</t>
  </si>
  <si>
    <t>kgp11394149</t>
  </si>
  <si>
    <t>kgp12796733</t>
  </si>
  <si>
    <t>kgp19136490</t>
  </si>
  <si>
    <t>rs4761659</t>
  </si>
  <si>
    <t>NUDT4</t>
  </si>
  <si>
    <t>kgp18800436</t>
  </si>
  <si>
    <t>rs7999075</t>
  </si>
  <si>
    <t>LINC00540</t>
  </si>
  <si>
    <t>kgp9635970</t>
  </si>
  <si>
    <t>kgp12038473</t>
  </si>
  <si>
    <t>kgp172957</t>
  </si>
  <si>
    <t>kgp6466428</t>
  </si>
  <si>
    <t>rs7148498</t>
  </si>
  <si>
    <t>LINC02318, TCL6</t>
  </si>
  <si>
    <t>kgp11158197</t>
  </si>
  <si>
    <t>kgp19875283</t>
  </si>
  <si>
    <t>kgp10779805</t>
  </si>
  <si>
    <t>kgp2413433</t>
  </si>
  <si>
    <t>rs4240810</t>
  </si>
  <si>
    <t>GSE1</t>
  </si>
  <si>
    <t>rs320637</t>
  </si>
  <si>
    <t>ASIC2</t>
  </si>
  <si>
    <t>rs7224488</t>
  </si>
  <si>
    <t>C17orf67, NSFP1</t>
  </si>
  <si>
    <t>kgp13988532</t>
  </si>
  <si>
    <t>kgp12079161</t>
  </si>
  <si>
    <t>kgp16105777</t>
  </si>
  <si>
    <t>kgp7925623</t>
  </si>
  <si>
    <t>kgp12301589</t>
  </si>
  <si>
    <t>rs7267421</t>
  </si>
  <si>
    <t>MACROD2</t>
  </si>
  <si>
    <t>rs11167260</t>
  </si>
  <si>
    <t>PROCR</t>
  </si>
  <si>
    <t>kgp3329138</t>
  </si>
  <si>
    <t>kgp1703878</t>
  </si>
  <si>
    <t>kgp12077979</t>
  </si>
  <si>
    <t>kgp15327256</t>
  </si>
  <si>
    <t>[8.69-34.97]</t>
  </si>
  <si>
    <t>kgp8851185</t>
  </si>
  <si>
    <t>rs9825420</t>
  </si>
  <si>
    <t>[2.272478-4.049382]</t>
  </si>
  <si>
    <t>ITGA9</t>
  </si>
  <si>
    <t>rs1605070</t>
  </si>
  <si>
    <t>[2.78601-5.589479]</t>
  </si>
  <si>
    <t>IQCF1, IQCF5-AS1</t>
  </si>
  <si>
    <t>rs2685056</t>
  </si>
  <si>
    <t>[1.939965-3.434586]</t>
  </si>
  <si>
    <t>kgp7569258</t>
  </si>
  <si>
    <t>rs11744876</t>
  </si>
  <si>
    <t>CTNND2</t>
  </si>
  <si>
    <t>rs9327881</t>
  </si>
  <si>
    <t>PDZPH1P</t>
  </si>
  <si>
    <t>kgp5819435</t>
  </si>
  <si>
    <t>rs9329300</t>
  </si>
  <si>
    <t>[2.25-4.27]</t>
  </si>
  <si>
    <t>rs7117082</t>
  </si>
  <si>
    <t>[2.04-3.81]</t>
  </si>
  <si>
    <t>OPCML</t>
  </si>
  <si>
    <t>kgp10557168</t>
  </si>
  <si>
    <t>rs9977018</t>
  </si>
  <si>
    <t>PCSEAT, LINC00111</t>
  </si>
  <si>
    <t>rs11987758</t>
  </si>
  <si>
    <t>MYOM2</t>
  </si>
  <si>
    <t>rs11062578</t>
  </si>
  <si>
    <t>TSPAN9</t>
  </si>
  <si>
    <t>kgp14646698</t>
  </si>
  <si>
    <t>kgp12078483</t>
  </si>
  <si>
    <t>rs7899101</t>
  </si>
  <si>
    <t>LASTR, CALML3</t>
  </si>
  <si>
    <t>rs3798696</t>
  </si>
  <si>
    <t>TFAP2A</t>
  </si>
  <si>
    <t>rs17162257</t>
  </si>
  <si>
    <t>RNU7-29P, ARID1A</t>
  </si>
  <si>
    <t>rs1572511</t>
  </si>
  <si>
    <t>rs10754283</t>
  </si>
  <si>
    <t>LRRC8C</t>
  </si>
  <si>
    <t>kgp4108347</t>
  </si>
  <si>
    <t>kgp8037522</t>
  </si>
  <si>
    <t>rs6531209</t>
  </si>
  <si>
    <t>LAPTM4A-DT, RPS16P2</t>
  </si>
  <si>
    <t>rs3749146</t>
  </si>
  <si>
    <t>STON1-GTF2A1L, STON1</t>
  </si>
  <si>
    <t>rs1400816</t>
  </si>
  <si>
    <t>SLC25A12</t>
  </si>
  <si>
    <t>rs6722486</t>
  </si>
  <si>
    <t>PTH2R</t>
  </si>
  <si>
    <t>rs2985334</t>
  </si>
  <si>
    <t>EPB41</t>
  </si>
  <si>
    <t>kgp12303217</t>
  </si>
  <si>
    <t>rs10489764</t>
  </si>
  <si>
    <t>RN7SKP156</t>
  </si>
  <si>
    <t>rs2247208</t>
  </si>
  <si>
    <t>NFASC</t>
  </si>
  <si>
    <t>kgp7635540</t>
  </si>
  <si>
    <t>kgp20555366</t>
  </si>
  <si>
    <t>rs16902328</t>
  </si>
  <si>
    <t>CASC11</t>
  </si>
  <si>
    <t>rs5029317</t>
  </si>
  <si>
    <t>PVT1</t>
  </si>
  <si>
    <t>rs1929412</t>
  </si>
  <si>
    <t>CDRT15P5</t>
  </si>
  <si>
    <t>kgp7684809</t>
  </si>
  <si>
    <t>rs776776</t>
  </si>
  <si>
    <t>ADAMTSL1</t>
  </si>
  <si>
    <t>kgp4589129</t>
  </si>
  <si>
    <t>rs10982990</t>
  </si>
  <si>
    <t>LINC00474</t>
  </si>
  <si>
    <t>rs1002442</t>
  </si>
  <si>
    <t>ANK3</t>
  </si>
  <si>
    <t>rs10458771</t>
  </si>
  <si>
    <t>GRID1, WAPL</t>
  </si>
  <si>
    <t>rs3740713</t>
  </si>
  <si>
    <t>LDHC</t>
  </si>
  <si>
    <t>kgp12970514</t>
  </si>
  <si>
    <t>rs2322978</t>
  </si>
  <si>
    <t>DNAJB6P1</t>
  </si>
  <si>
    <t>kgp4525136</t>
  </si>
  <si>
    <t>kgp18765176</t>
  </si>
  <si>
    <t>rs3782455</t>
  </si>
  <si>
    <t>RBM19</t>
  </si>
  <si>
    <t>rs1147246</t>
  </si>
  <si>
    <t>TMEM132B</t>
  </si>
  <si>
    <t>rs11061269</t>
  </si>
  <si>
    <t>[2.49-5.74]</t>
  </si>
  <si>
    <t>ADGRD1</t>
  </si>
  <si>
    <t>kgp685822</t>
  </si>
  <si>
    <t>rs9568797</t>
  </si>
  <si>
    <t>OLFM4</t>
  </si>
  <si>
    <t>rs1464443</t>
  </si>
  <si>
    <t>ERBB4</t>
  </si>
  <si>
    <t>rs1559473</t>
  </si>
  <si>
    <t>RPL23AP28, HSPA9P1</t>
  </si>
  <si>
    <t>kgp7136205</t>
  </si>
  <si>
    <t>rs11921451</t>
  </si>
  <si>
    <t>PLXNA1</t>
  </si>
  <si>
    <t>rs13100616</t>
  </si>
  <si>
    <t>KCNMB2-AS1, KCNMB2</t>
  </si>
  <si>
    <t>rs3852053</t>
  </si>
  <si>
    <t>MASP1</t>
  </si>
  <si>
    <t>kgp11486290</t>
  </si>
  <si>
    <t>rs4128705</t>
  </si>
  <si>
    <t>CCSER1</t>
  </si>
  <si>
    <t>rs6851442</t>
  </si>
  <si>
    <t>HADH, LEF1</t>
  </si>
  <si>
    <t>kgp1156560</t>
  </si>
  <si>
    <t>rs2667100</t>
  </si>
  <si>
    <t>INPP4B</t>
  </si>
  <si>
    <t>rs10495822</t>
  </si>
  <si>
    <t>LINC01320</t>
  </si>
  <si>
    <t>kgp12358136</t>
  </si>
  <si>
    <t>kgp14389214</t>
  </si>
  <si>
    <t>rs4234080</t>
  </si>
  <si>
    <t>METTL21A</t>
  </si>
  <si>
    <t>rs1987842</t>
  </si>
  <si>
    <t>SPP2, TRPM8</t>
  </si>
  <si>
    <t>kgp1737425</t>
  </si>
  <si>
    <t>kgp6833820</t>
  </si>
  <si>
    <t>kgp18237904</t>
  </si>
  <si>
    <t>kgp11801513</t>
  </si>
  <si>
    <t>kgp21251150</t>
  </si>
  <si>
    <t>rs7679218</t>
  </si>
  <si>
    <t>ANXA3</t>
  </si>
  <si>
    <t>rs13133845</t>
  </si>
  <si>
    <t>BMPR1B-DT, PDLIM5</t>
  </si>
  <si>
    <t>rs10029851</t>
  </si>
  <si>
    <t>OSTC, ETNPPL</t>
  </si>
  <si>
    <t>rs7698598</t>
  </si>
  <si>
    <t>SYNPO2</t>
  </si>
  <si>
    <t>kgp9775491</t>
  </si>
  <si>
    <t>kgp513891</t>
  </si>
  <si>
    <t>kgp3795669</t>
  </si>
  <si>
    <t>kgp16945245</t>
  </si>
  <si>
    <t>rs7755729</t>
  </si>
  <si>
    <t>LAMA2</t>
  </si>
  <si>
    <t>kgp2730822</t>
  </si>
  <si>
    <t>rs4719220</t>
  </si>
  <si>
    <t>CALN1</t>
  </si>
  <si>
    <t>kgp2113062</t>
  </si>
  <si>
    <t>rs13256095</t>
  </si>
  <si>
    <t>PDGFRL</t>
  </si>
  <si>
    <t>rs7830371</t>
  </si>
  <si>
    <t>CLVS1</t>
  </si>
  <si>
    <t>kgp692907</t>
  </si>
  <si>
    <t>kgp18356648</t>
  </si>
  <si>
    <t>kgp6826200</t>
  </si>
  <si>
    <t>kgp200668</t>
  </si>
  <si>
    <t>kgp3925218</t>
  </si>
  <si>
    <t>kgp11897960</t>
  </si>
  <si>
    <t>kgp12317355</t>
  </si>
  <si>
    <t>kgp8087771</t>
  </si>
  <si>
    <t>[2.212039-4.157817]</t>
  </si>
  <si>
    <t>rs16938145</t>
  </si>
  <si>
    <t>RN7SL592P</t>
  </si>
  <si>
    <t>kgp16051801</t>
  </si>
  <si>
    <t>rs17684824</t>
  </si>
  <si>
    <t>rs10508264</t>
  </si>
  <si>
    <t>KLF6</t>
  </si>
  <si>
    <t>kgp22358183</t>
  </si>
  <si>
    <t>rs17603886</t>
  </si>
  <si>
    <t>ATP2B2</t>
  </si>
  <si>
    <t>rs551585</t>
  </si>
  <si>
    <t>TPI1P1, ST6GALNAC3</t>
  </si>
  <si>
    <t>rs2364403</t>
  </si>
  <si>
    <t>ARHGEF2</t>
  </si>
  <si>
    <t>Amyotrophic lateral sclerosis (age of onset)</t>
  </si>
  <si>
    <t>amyotrophic lateral sclerosis, age at onset</t>
  </si>
  <si>
    <t>GCST001663</t>
  </si>
  <si>
    <t>rs2819332</t>
  </si>
  <si>
    <t>PTPRF</t>
  </si>
  <si>
    <t>rs669446</t>
  </si>
  <si>
    <t>KDM4A</t>
  </si>
  <si>
    <t>rs1421746</t>
  </si>
  <si>
    <t>CCDC192</t>
  </si>
  <si>
    <t>rs10503672</t>
  </si>
  <si>
    <t>RPL30P9, SLC18A1</t>
  </si>
  <si>
    <t>rs1491818</t>
  </si>
  <si>
    <t>rs2904524</t>
  </si>
  <si>
    <t>CNOT2</t>
  </si>
  <si>
    <t>rs7147705</t>
  </si>
  <si>
    <t>NRXN3</t>
  </si>
  <si>
    <t>rs3011225</t>
  </si>
  <si>
    <t>ST3GAL3</t>
  </si>
  <si>
    <t>rs12651329</t>
  </si>
  <si>
    <t>ARAP2</t>
  </si>
  <si>
    <t>rs6956741</t>
  </si>
  <si>
    <t>IFRD1</t>
  </si>
  <si>
    <t>rs7047865</t>
  </si>
  <si>
    <t>PCSK5</t>
  </si>
  <si>
    <t>rs2036225</t>
  </si>
  <si>
    <t>ANKS1B</t>
  </si>
  <si>
    <t>rs2935183</t>
  </si>
  <si>
    <t>NPEPPS</t>
  </si>
  <si>
    <t>Multiple sclerosis or amyotrophic lateral sclerosis</t>
  </si>
  <si>
    <t>amyotrophic lateral sclerosis, multiple sclerosis</t>
  </si>
  <si>
    <t>GCST002274</t>
  </si>
  <si>
    <t>Goris A</t>
  </si>
  <si>
    <t>rs12546767</t>
  </si>
  <si>
    <t>WASHC5</t>
  </si>
  <si>
    <t>Amyotrophic lateral sclerosis or frontotemporal dementia</t>
  </si>
  <si>
    <t>obsolete_frontotemporal dementia, amyotrophic lateral sclerosis</t>
  </si>
  <si>
    <t>GCST002510</t>
  </si>
  <si>
    <t>rs139550538</t>
  </si>
  <si>
    <t>0.4807 unit increase</t>
  </si>
  <si>
    <t>IDE</t>
  </si>
  <si>
    <t>Survival in sporadic amyotrophic lateral sclerosis</t>
  </si>
  <si>
    <t>sporadic amyotrophic lateral sclerosis, survival time</t>
  </si>
  <si>
    <t>GCST003632</t>
  </si>
  <si>
    <t>rs2412208</t>
  </si>
  <si>
    <t>0.1617 unit decrease</t>
  </si>
  <si>
    <t>CAMTA1</t>
  </si>
  <si>
    <t>rs969599</t>
  </si>
  <si>
    <t>0.3112 unit decrease</t>
  </si>
  <si>
    <t>PSD3</t>
  </si>
  <si>
    <t>rs72911847</t>
  </si>
  <si>
    <t>0.4722 unit decrease</t>
  </si>
  <si>
    <t>SEC61GP1</t>
  </si>
  <si>
    <t>rs75285952</t>
  </si>
  <si>
    <t>0.3047 unit increase</t>
  </si>
  <si>
    <t>rs115134572</t>
  </si>
  <si>
    <t>0.4727 unit decrease</t>
  </si>
  <si>
    <t>SLC9A9</t>
  </si>
  <si>
    <t>A</t>
  </si>
  <si>
    <t>G</t>
  </si>
  <si>
    <t>C</t>
  </si>
  <si>
    <t>T</t>
  </si>
  <si>
    <t>Note</t>
  </si>
  <si>
    <t>ProjectMinE</t>
  </si>
  <si>
    <t>Asian only</t>
  </si>
  <si>
    <t>ProjectMinE2</t>
  </si>
  <si>
    <t>OpenTarget</t>
  </si>
  <si>
    <t>rs10122902</t>
  </si>
  <si>
    <t>G, rs10122902</t>
  </si>
  <si>
    <t>A, rs10122902</t>
  </si>
  <si>
    <t>Asian only, OpenTarget</t>
  </si>
  <si>
    <t>ProjectMinE, OpenTarget</t>
  </si>
  <si>
    <t>rs147211831</t>
  </si>
  <si>
    <t>(1.5, 2.0)</t>
  </si>
  <si>
    <t>IFNK</t>
  </si>
  <si>
    <t>rs78549703</t>
  </si>
  <si>
    <t>(1.1, 1.2)</t>
  </si>
  <si>
    <t>Mixed population, OpenTarget</t>
  </si>
  <si>
    <t>(1.6, 2.1)</t>
  </si>
  <si>
    <t>rs139185008</t>
  </si>
  <si>
    <t>(1.5, 1.9)</t>
  </si>
  <si>
    <t>rs147599399</t>
  </si>
  <si>
    <t>(1.4, 1.8)</t>
  </si>
  <si>
    <t>rs142321490</t>
  </si>
  <si>
    <t>(1.2, 1.5)</t>
  </si>
  <si>
    <t>ATP23</t>
  </si>
  <si>
    <t>ProjectMinE2, OpenTarget</t>
  </si>
  <si>
    <t>European</t>
  </si>
  <si>
    <t>European, American</t>
  </si>
  <si>
    <t>Asian</t>
  </si>
  <si>
    <t>Mixed population</t>
  </si>
  <si>
    <t>Population</t>
  </si>
  <si>
    <t>Source</t>
  </si>
  <si>
    <t>GWASCatalog</t>
  </si>
  <si>
    <t>rsID</t>
  </si>
  <si>
    <t>pos_GRCh37</t>
  </si>
  <si>
    <t>X</t>
  </si>
  <si>
    <t>rs3177980 (rs1131498)</t>
  </si>
  <si>
    <t>Sample Size</t>
  </si>
  <si>
    <t>Journal</t>
  </si>
  <si>
    <t>Impact factor</t>
  </si>
  <si>
    <t>Nat Genet</t>
  </si>
  <si>
    <t>Sci Rep</t>
  </si>
  <si>
    <t>Proc Natl Acad Sci U S A</t>
  </si>
  <si>
    <t>Neurobiol Aging</t>
  </si>
  <si>
    <t>Biomark Med</t>
  </si>
  <si>
    <t>Lancet Neurol</t>
  </si>
  <si>
    <t>Hum Mol Genet</t>
  </si>
  <si>
    <t>Eur J Hum Genet</t>
  </si>
  <si>
    <t>PLoS One</t>
  </si>
  <si>
    <t>Ann Neurol</t>
  </si>
  <si>
    <t>Commun Biol</t>
  </si>
  <si>
    <t>Neurol Genet</t>
  </si>
  <si>
    <t>Neuron</t>
  </si>
  <si>
    <t>Nat Commun</t>
  </si>
  <si>
    <t>JAMA Neurol</t>
  </si>
  <si>
    <t>Replication</t>
  </si>
  <si>
    <t>Beta_numeric</t>
  </si>
  <si>
    <t>Case Size</t>
  </si>
  <si>
    <t>Control Size</t>
  </si>
  <si>
    <t>(C9orf72 mutation interaction)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</si>
</sst>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11" fontId="0" fillId="0" borderId="0" xfId="0" applyNumberFormat="1"/>
    <xf numFmtId="0" fontId="4" fillId="0" borderId="0" xfId="0" applyFont="1" applyAlignment="1">
      <alignment vertical="center"/>
    </xf>
    <xf numFmtId="11" fontId="4" fillId="0" borderId="0" xfId="0" applyNumberFormat="1" applyFont="1" applyAlignment="1">
      <alignment vertic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3" fillId="3" borderId="0" xfId="0" applyFont="1" applyFill="1"/>
    <xf numFmtId="0" fontId="3" fillId="0" borderId="0" xfId="0" applyFo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3"/>
  <sheetViews>
    <sheetView tabSelected="1" zoomScale="160" zoomScaleNormal="160" workbookViewId="0">
      <selection activeCell="K12" sqref="K12"/>
    </sheetView>
  </sheetViews>
  <sheetFormatPr baseColWidth="10" defaultColWidth="8.83203125" defaultRowHeight="15" x14ac:dyDescent="0.2"/>
  <cols>
    <col min="1" max="1" width="14.5" customWidth="1"/>
    <col min="2" max="2" width="17.6640625" customWidth="1"/>
    <col min="5" max="5" width="14.5" customWidth="1"/>
    <col min="7" max="7" width="16.1640625" customWidth="1"/>
    <col min="8" max="8" width="9.33203125" customWidth="1"/>
    <col min="9" max="9" width="8.83203125" style="7"/>
    <col min="10" max="10" width="15.5" customWidth="1"/>
    <col min="11" max="11" width="8.83203125" style="7"/>
    <col min="16" max="16" width="13.5" customWidth="1"/>
    <col min="18" max="18" width="18.83203125" customWidth="1"/>
    <col min="19" max="19" width="15" customWidth="1"/>
    <col min="20" max="22" width="17.83203125" customWidth="1"/>
    <col min="23" max="23" width="11" customWidth="1"/>
    <col min="24" max="24" width="15" customWidth="1"/>
    <col min="25" max="25" width="10.1640625" bestFit="1" customWidth="1"/>
    <col min="26" max="26" width="10.1640625" customWidth="1"/>
    <col min="27" max="27" width="15.83203125" customWidth="1"/>
  </cols>
  <sheetData>
    <row r="1" spans="1:27" s="1" customFormat="1" x14ac:dyDescent="0.2">
      <c r="A1" s="1" t="s">
        <v>763</v>
      </c>
      <c r="B1" s="1" t="s">
        <v>765</v>
      </c>
      <c r="C1" s="1" t="s">
        <v>0</v>
      </c>
      <c r="D1" s="1" t="s">
        <v>13</v>
      </c>
      <c r="E1" s="1" t="s">
        <v>766</v>
      </c>
      <c r="F1" s="1" t="s">
        <v>1</v>
      </c>
      <c r="G1" s="1" t="s">
        <v>2</v>
      </c>
      <c r="H1" s="1" t="s">
        <v>3</v>
      </c>
      <c r="I1" s="6" t="s">
        <v>4</v>
      </c>
      <c r="J1" s="1" t="s">
        <v>5</v>
      </c>
      <c r="K1" s="6" t="s">
        <v>788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770</v>
      </c>
      <c r="S1" s="1" t="s">
        <v>771</v>
      </c>
      <c r="T1" s="1" t="s">
        <v>769</v>
      </c>
      <c r="U1" s="1" t="s">
        <v>789</v>
      </c>
      <c r="V1" s="1" t="s">
        <v>790</v>
      </c>
      <c r="W1" s="1" t="s">
        <v>787</v>
      </c>
      <c r="X1" s="1" t="s">
        <v>12</v>
      </c>
      <c r="Y1" s="1" t="s">
        <v>14</v>
      </c>
      <c r="Z1" s="1" t="s">
        <v>762</v>
      </c>
      <c r="AA1" s="1" t="s">
        <v>733</v>
      </c>
    </row>
    <row r="2" spans="1:27" x14ac:dyDescent="0.2">
      <c r="A2" t="s">
        <v>764</v>
      </c>
      <c r="B2" t="s">
        <v>15</v>
      </c>
      <c r="D2">
        <v>21</v>
      </c>
      <c r="E2">
        <v>45753117</v>
      </c>
      <c r="F2" s="3">
        <v>3E-10</v>
      </c>
      <c r="H2">
        <v>0.01</v>
      </c>
      <c r="I2" s="7">
        <v>1.47</v>
      </c>
      <c r="J2" t="s">
        <v>16</v>
      </c>
      <c r="K2" s="7" cm="1">
        <f t="array" ref="K2:K17">LN(I2:I17)</f>
        <v>0.38526240079064489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s="2">
        <v>27455348</v>
      </c>
      <c r="R2" t="s">
        <v>772</v>
      </c>
      <c r="S2">
        <v>41.38</v>
      </c>
      <c r="T2">
        <v>36052</v>
      </c>
      <c r="U2">
        <v>12577</v>
      </c>
      <c r="V2">
        <v>23475</v>
      </c>
      <c r="W2">
        <v>3</v>
      </c>
      <c r="X2" t="s">
        <v>22</v>
      </c>
      <c r="Y2">
        <v>44333234</v>
      </c>
      <c r="Z2" t="s">
        <v>758</v>
      </c>
      <c r="AA2" t="s">
        <v>742</v>
      </c>
    </row>
    <row r="3" spans="1:27" x14ac:dyDescent="0.2">
      <c r="A3" t="s">
        <v>764</v>
      </c>
      <c r="B3" t="s">
        <v>23</v>
      </c>
      <c r="D3">
        <v>3</v>
      </c>
      <c r="E3">
        <v>39534481</v>
      </c>
      <c r="F3" s="3">
        <v>4.0000000000000001E-10</v>
      </c>
      <c r="H3">
        <v>0.28000000000000003</v>
      </c>
      <c r="I3" s="7">
        <v>1.1000000000000001</v>
      </c>
      <c r="J3" t="s">
        <v>16</v>
      </c>
      <c r="K3" s="7">
        <v>9.5310179804324935E-2</v>
      </c>
      <c r="L3" t="s">
        <v>24</v>
      </c>
      <c r="M3" t="s">
        <v>25</v>
      </c>
      <c r="N3" t="s">
        <v>19</v>
      </c>
      <c r="O3" t="s">
        <v>20</v>
      </c>
      <c r="P3" t="s">
        <v>21</v>
      </c>
      <c r="Q3" s="2">
        <v>27455348</v>
      </c>
      <c r="R3" t="s">
        <v>772</v>
      </c>
      <c r="S3">
        <v>41.38</v>
      </c>
      <c r="T3">
        <v>36052</v>
      </c>
      <c r="U3">
        <v>12577</v>
      </c>
      <c r="V3">
        <v>23475</v>
      </c>
      <c r="W3">
        <v>2</v>
      </c>
      <c r="X3" t="s">
        <v>22</v>
      </c>
      <c r="Y3">
        <v>39492990</v>
      </c>
      <c r="Z3" t="s">
        <v>758</v>
      </c>
      <c r="AA3" t="s">
        <v>734</v>
      </c>
    </row>
    <row r="4" spans="1:27" x14ac:dyDescent="0.2">
      <c r="A4" t="s">
        <v>764</v>
      </c>
      <c r="B4" t="s">
        <v>26</v>
      </c>
      <c r="D4">
        <v>14</v>
      </c>
      <c r="E4">
        <v>31147498</v>
      </c>
      <c r="F4" s="3">
        <v>2.9999999999999997E-8</v>
      </c>
      <c r="H4">
        <v>0.31</v>
      </c>
      <c r="I4" s="7">
        <v>1.0900000000000001</v>
      </c>
      <c r="J4" t="s">
        <v>16</v>
      </c>
      <c r="K4" s="7">
        <v>8.6177696241052412E-2</v>
      </c>
      <c r="L4" t="s">
        <v>27</v>
      </c>
      <c r="M4" t="s">
        <v>28</v>
      </c>
      <c r="N4" t="s">
        <v>19</v>
      </c>
      <c r="O4" t="s">
        <v>20</v>
      </c>
      <c r="P4" t="s">
        <v>21</v>
      </c>
      <c r="Q4" s="2">
        <v>27455348</v>
      </c>
      <c r="R4" t="s">
        <v>772</v>
      </c>
      <c r="S4">
        <v>41.38</v>
      </c>
      <c r="T4">
        <v>36052</v>
      </c>
      <c r="U4">
        <v>12577</v>
      </c>
      <c r="V4">
        <v>23475</v>
      </c>
      <c r="W4">
        <v>2</v>
      </c>
      <c r="X4" t="s">
        <v>22</v>
      </c>
      <c r="Y4">
        <v>30678292</v>
      </c>
      <c r="Z4" t="s">
        <v>758</v>
      </c>
      <c r="AA4" t="s">
        <v>734</v>
      </c>
    </row>
    <row r="5" spans="1:27" x14ac:dyDescent="0.2">
      <c r="A5" t="s">
        <v>764</v>
      </c>
      <c r="B5" t="s">
        <v>29</v>
      </c>
      <c r="C5" t="s">
        <v>729</v>
      </c>
      <c r="D5">
        <v>12</v>
      </c>
      <c r="E5">
        <v>64881967</v>
      </c>
      <c r="F5" s="3">
        <v>7.0000000000000005E-8</v>
      </c>
      <c r="G5" t="s">
        <v>30</v>
      </c>
      <c r="H5">
        <v>4.9000000000000002E-2</v>
      </c>
      <c r="I5" s="7">
        <v>1.21</v>
      </c>
      <c r="J5" t="s">
        <v>16</v>
      </c>
      <c r="K5" s="7">
        <v>0.1906203596086497</v>
      </c>
      <c r="L5" t="s">
        <v>31</v>
      </c>
      <c r="M5" t="s">
        <v>32</v>
      </c>
      <c r="N5" t="s">
        <v>19</v>
      </c>
      <c r="O5" t="s">
        <v>20</v>
      </c>
      <c r="P5" t="s">
        <v>21</v>
      </c>
      <c r="Q5" s="2">
        <v>27455348</v>
      </c>
      <c r="R5" t="s">
        <v>772</v>
      </c>
      <c r="S5">
        <v>41.38</v>
      </c>
      <c r="T5">
        <v>36052</v>
      </c>
      <c r="U5">
        <v>12577</v>
      </c>
      <c r="V5">
        <v>23475</v>
      </c>
      <c r="W5">
        <v>2</v>
      </c>
      <c r="X5" t="s">
        <v>22</v>
      </c>
      <c r="Y5">
        <v>64488187</v>
      </c>
      <c r="Z5" t="s">
        <v>758</v>
      </c>
      <c r="AA5" t="s">
        <v>734</v>
      </c>
    </row>
    <row r="6" spans="1:27" x14ac:dyDescent="0.2">
      <c r="A6" t="s">
        <v>764</v>
      </c>
      <c r="B6" t="s">
        <v>33</v>
      </c>
      <c r="D6">
        <v>9</v>
      </c>
      <c r="E6">
        <v>27543382</v>
      </c>
      <c r="F6" s="3">
        <v>3.9999999999999999E-19</v>
      </c>
      <c r="H6">
        <v>0.2233</v>
      </c>
      <c r="I6" s="7">
        <v>1.2244999999999999</v>
      </c>
      <c r="J6" t="s">
        <v>16</v>
      </c>
      <c r="K6" s="7">
        <v>0.20253259741008531</v>
      </c>
      <c r="L6" t="s">
        <v>31</v>
      </c>
      <c r="M6" t="s">
        <v>34</v>
      </c>
      <c r="N6" t="s">
        <v>19</v>
      </c>
      <c r="O6" t="s">
        <v>20</v>
      </c>
      <c r="P6" t="s">
        <v>21</v>
      </c>
      <c r="Q6" s="2">
        <v>27455348</v>
      </c>
      <c r="R6" t="s">
        <v>772</v>
      </c>
      <c r="S6">
        <v>41.38</v>
      </c>
      <c r="T6">
        <v>36052</v>
      </c>
      <c r="U6">
        <v>12577</v>
      </c>
      <c r="V6">
        <v>23475</v>
      </c>
      <c r="W6">
        <v>4</v>
      </c>
      <c r="X6" t="s">
        <v>22</v>
      </c>
      <c r="Y6">
        <v>27543384</v>
      </c>
      <c r="Z6" t="s">
        <v>758</v>
      </c>
      <c r="AA6" t="s">
        <v>742</v>
      </c>
    </row>
    <row r="7" spans="1:27" x14ac:dyDescent="0.2">
      <c r="A7" t="s">
        <v>764</v>
      </c>
      <c r="B7" t="s">
        <v>35</v>
      </c>
      <c r="D7">
        <v>19</v>
      </c>
      <c r="E7">
        <v>17752689</v>
      </c>
      <c r="F7" s="3">
        <v>2E-8</v>
      </c>
      <c r="H7">
        <v>0.35699999999999998</v>
      </c>
      <c r="I7" s="7">
        <v>1.0980000000000001</v>
      </c>
      <c r="J7" t="s">
        <v>16</v>
      </c>
      <c r="K7" s="7">
        <v>9.3490343087338973E-2</v>
      </c>
      <c r="L7" t="s">
        <v>31</v>
      </c>
      <c r="M7" t="s">
        <v>36</v>
      </c>
      <c r="N7" t="s">
        <v>19</v>
      </c>
      <c r="O7" t="s">
        <v>20</v>
      </c>
      <c r="P7" t="s">
        <v>21</v>
      </c>
      <c r="Q7" s="2">
        <v>27455348</v>
      </c>
      <c r="R7" t="s">
        <v>772</v>
      </c>
      <c r="S7">
        <v>41.38</v>
      </c>
      <c r="T7">
        <v>36052</v>
      </c>
      <c r="U7">
        <v>12577</v>
      </c>
      <c r="V7">
        <v>23475</v>
      </c>
      <c r="W7">
        <v>9</v>
      </c>
      <c r="X7" t="s">
        <v>22</v>
      </c>
      <c r="Y7">
        <v>17641880</v>
      </c>
      <c r="Z7" t="s">
        <v>758</v>
      </c>
      <c r="AA7" t="s">
        <v>734</v>
      </c>
    </row>
    <row r="8" spans="1:27" x14ac:dyDescent="0.2">
      <c r="A8" t="s">
        <v>764</v>
      </c>
      <c r="B8" t="s">
        <v>37</v>
      </c>
      <c r="D8">
        <v>17</v>
      </c>
      <c r="E8">
        <v>26719788</v>
      </c>
      <c r="F8" s="3">
        <v>1E-8</v>
      </c>
      <c r="H8">
        <v>0.82</v>
      </c>
      <c r="I8" s="7">
        <v>1.1100000000000001</v>
      </c>
      <c r="J8" t="s">
        <v>16</v>
      </c>
      <c r="K8" s="7">
        <v>0.10436001532424286</v>
      </c>
      <c r="L8" t="s">
        <v>31</v>
      </c>
      <c r="M8" t="s">
        <v>38</v>
      </c>
      <c r="N8" t="s">
        <v>19</v>
      </c>
      <c r="O8" t="s">
        <v>20</v>
      </c>
      <c r="P8" t="s">
        <v>21</v>
      </c>
      <c r="Q8" s="2">
        <v>27455348</v>
      </c>
      <c r="R8" t="s">
        <v>772</v>
      </c>
      <c r="S8">
        <v>41.38</v>
      </c>
      <c r="T8">
        <v>36052</v>
      </c>
      <c r="U8">
        <v>12577</v>
      </c>
      <c r="V8">
        <v>23475</v>
      </c>
      <c r="W8">
        <v>2</v>
      </c>
      <c r="X8" t="s">
        <v>22</v>
      </c>
      <c r="Y8">
        <v>28392769</v>
      </c>
      <c r="Z8" t="s">
        <v>758</v>
      </c>
      <c r="AA8" t="s">
        <v>742</v>
      </c>
    </row>
    <row r="9" spans="1:27" x14ac:dyDescent="0.2">
      <c r="A9" t="s">
        <v>737</v>
      </c>
      <c r="B9" t="s">
        <v>743</v>
      </c>
      <c r="C9" t="s">
        <v>729</v>
      </c>
      <c r="D9">
        <v>9</v>
      </c>
      <c r="E9">
        <v>27436084</v>
      </c>
      <c r="F9" s="3">
        <v>2.226E-12</v>
      </c>
      <c r="H9" s="9">
        <v>0.01</v>
      </c>
      <c r="I9" s="7">
        <v>1.71257827818734</v>
      </c>
      <c r="K9" s="7">
        <v>0.53799999999999559</v>
      </c>
      <c r="L9" t="s">
        <v>744</v>
      </c>
      <c r="M9" t="s">
        <v>745</v>
      </c>
      <c r="N9" t="s">
        <v>19</v>
      </c>
      <c r="O9" t="s">
        <v>20</v>
      </c>
      <c r="P9" t="s">
        <v>21</v>
      </c>
      <c r="Q9" s="2">
        <v>27455348</v>
      </c>
      <c r="R9" t="s">
        <v>772</v>
      </c>
      <c r="S9">
        <v>41.38</v>
      </c>
      <c r="T9">
        <v>36052</v>
      </c>
      <c r="U9">
        <v>12577</v>
      </c>
      <c r="V9">
        <v>23475</v>
      </c>
      <c r="W9">
        <v>2</v>
      </c>
      <c r="X9" t="s">
        <v>22</v>
      </c>
      <c r="Y9">
        <v>27436086</v>
      </c>
      <c r="Z9" t="s">
        <v>758</v>
      </c>
    </row>
    <row r="10" spans="1:27" x14ac:dyDescent="0.2">
      <c r="A10" t="s">
        <v>737</v>
      </c>
      <c r="B10" t="s">
        <v>746</v>
      </c>
      <c r="C10" t="s">
        <v>729</v>
      </c>
      <c r="D10">
        <v>19</v>
      </c>
      <c r="E10">
        <v>17749542</v>
      </c>
      <c r="F10" s="3">
        <v>1.3049999999999999E-8</v>
      </c>
      <c r="H10" s="9">
        <v>0.33</v>
      </c>
      <c r="I10" s="7">
        <v>1.11572007093514</v>
      </c>
      <c r="K10" s="7">
        <v>0.10949999999999306</v>
      </c>
      <c r="L10" t="s">
        <v>747</v>
      </c>
      <c r="M10" t="s">
        <v>36</v>
      </c>
      <c r="N10" t="s">
        <v>19</v>
      </c>
      <c r="O10" t="s">
        <v>20</v>
      </c>
      <c r="P10" t="s">
        <v>21</v>
      </c>
      <c r="Q10" s="2">
        <v>27455348</v>
      </c>
      <c r="R10" t="s">
        <v>772</v>
      </c>
      <c r="S10">
        <v>41.38</v>
      </c>
      <c r="T10">
        <v>36052</v>
      </c>
      <c r="U10">
        <v>12577</v>
      </c>
      <c r="V10">
        <v>23475</v>
      </c>
      <c r="W10">
        <v>1</v>
      </c>
      <c r="X10" t="s">
        <v>22</v>
      </c>
      <c r="Y10">
        <v>17638733</v>
      </c>
      <c r="Z10" t="s">
        <v>758</v>
      </c>
    </row>
    <row r="11" spans="1:27" x14ac:dyDescent="0.2">
      <c r="A11" t="s">
        <v>764</v>
      </c>
      <c r="B11" t="s">
        <v>39</v>
      </c>
      <c r="D11">
        <v>9</v>
      </c>
      <c r="E11">
        <v>27543281</v>
      </c>
      <c r="F11" s="3">
        <v>1.9999999999999999E-6</v>
      </c>
      <c r="H11">
        <v>0.23</v>
      </c>
      <c r="I11" s="7">
        <v>1.21</v>
      </c>
      <c r="J11" t="s">
        <v>16</v>
      </c>
      <c r="K11" s="7">
        <v>0.1906203596086497</v>
      </c>
      <c r="L11" t="s">
        <v>40</v>
      </c>
      <c r="M11" t="s">
        <v>34</v>
      </c>
      <c r="N11" t="s">
        <v>19</v>
      </c>
      <c r="O11" t="s">
        <v>20</v>
      </c>
      <c r="P11" t="s">
        <v>41</v>
      </c>
      <c r="Q11">
        <v>30976013</v>
      </c>
      <c r="R11" t="s">
        <v>773</v>
      </c>
      <c r="S11">
        <v>4.9960000000000004</v>
      </c>
      <c r="T11">
        <v>7350</v>
      </c>
      <c r="U11">
        <v>4244</v>
      </c>
      <c r="V11">
        <v>3106</v>
      </c>
      <c r="W11">
        <v>7</v>
      </c>
      <c r="X11" t="s">
        <v>42</v>
      </c>
      <c r="Y11">
        <v>27543283</v>
      </c>
      <c r="Z11" t="s">
        <v>758</v>
      </c>
    </row>
    <row r="12" spans="1:27" x14ac:dyDescent="0.2">
      <c r="A12" t="s">
        <v>764</v>
      </c>
      <c r="B12" t="s">
        <v>43</v>
      </c>
      <c r="C12" t="s">
        <v>730</v>
      </c>
      <c r="D12">
        <v>3</v>
      </c>
      <c r="E12">
        <v>2624938</v>
      </c>
      <c r="F12" s="3">
        <v>6.9999999999999999E-6</v>
      </c>
      <c r="G12" t="s">
        <v>44</v>
      </c>
      <c r="H12" s="9">
        <v>0.89</v>
      </c>
      <c r="I12" s="7">
        <f>EXP(-3.03)</f>
        <v>4.8315638126067789E-2</v>
      </c>
      <c r="J12" t="s">
        <v>45</v>
      </c>
      <c r="K12" s="7">
        <v>-3.03</v>
      </c>
      <c r="L12" t="s">
        <v>46</v>
      </c>
      <c r="M12" t="s">
        <v>16</v>
      </c>
      <c r="N12" t="s">
        <v>19</v>
      </c>
      <c r="O12" t="s">
        <v>20</v>
      </c>
      <c r="P12" t="s">
        <v>47</v>
      </c>
      <c r="Q12">
        <v>19451621</v>
      </c>
      <c r="R12" t="s">
        <v>774</v>
      </c>
      <c r="S12">
        <v>12.78</v>
      </c>
      <c r="T12">
        <v>4079</v>
      </c>
      <c r="U12">
        <v>1821</v>
      </c>
      <c r="V12">
        <v>2258</v>
      </c>
      <c r="W12">
        <v>1</v>
      </c>
      <c r="X12" t="s">
        <v>48</v>
      </c>
      <c r="Y12">
        <v>2583254</v>
      </c>
      <c r="Z12" t="s">
        <v>759</v>
      </c>
    </row>
    <row r="13" spans="1:27" x14ac:dyDescent="0.2">
      <c r="A13" t="s">
        <v>764</v>
      </c>
      <c r="B13" t="s">
        <v>49</v>
      </c>
      <c r="C13" t="s">
        <v>731</v>
      </c>
      <c r="D13">
        <v>1</v>
      </c>
      <c r="E13">
        <v>232155151</v>
      </c>
      <c r="F13" s="3">
        <v>7.9999999999999996E-6</v>
      </c>
      <c r="G13" t="s">
        <v>50</v>
      </c>
      <c r="H13">
        <v>0.04</v>
      </c>
      <c r="I13" s="7">
        <v>2</v>
      </c>
      <c r="J13" t="s">
        <v>16</v>
      </c>
      <c r="K13" s="7">
        <v>0.69314718055994529</v>
      </c>
      <c r="L13" t="s">
        <v>31</v>
      </c>
      <c r="M13" t="s">
        <v>51</v>
      </c>
      <c r="N13" t="s">
        <v>19</v>
      </c>
      <c r="O13" t="s">
        <v>20</v>
      </c>
      <c r="P13" t="s">
        <v>47</v>
      </c>
      <c r="Q13">
        <v>19451621</v>
      </c>
      <c r="R13" t="s">
        <v>774</v>
      </c>
      <c r="S13">
        <v>12.78</v>
      </c>
      <c r="T13">
        <v>4079</v>
      </c>
      <c r="U13">
        <v>1821</v>
      </c>
      <c r="V13">
        <v>2258</v>
      </c>
      <c r="W13">
        <v>1</v>
      </c>
      <c r="X13" t="s">
        <v>48</v>
      </c>
      <c r="Y13">
        <v>232019405</v>
      </c>
      <c r="Z13" t="s">
        <v>759</v>
      </c>
    </row>
    <row r="14" spans="1:27" x14ac:dyDescent="0.2">
      <c r="A14" t="s">
        <v>764</v>
      </c>
      <c r="B14" t="s">
        <v>52</v>
      </c>
      <c r="C14" t="s">
        <v>732</v>
      </c>
      <c r="D14">
        <v>1</v>
      </c>
      <c r="E14">
        <v>40132795</v>
      </c>
      <c r="F14" s="3">
        <v>7.9999999999999996E-6</v>
      </c>
      <c r="G14" t="s">
        <v>50</v>
      </c>
      <c r="H14">
        <v>0.28999999999999998</v>
      </c>
      <c r="I14" s="7">
        <v>1.1599999999999999</v>
      </c>
      <c r="J14" t="s">
        <v>16</v>
      </c>
      <c r="K14" s="7">
        <v>0.14842000511827322</v>
      </c>
      <c r="L14" t="s">
        <v>31</v>
      </c>
      <c r="M14" t="s">
        <v>53</v>
      </c>
      <c r="N14" t="s">
        <v>19</v>
      </c>
      <c r="O14" t="s">
        <v>20</v>
      </c>
      <c r="P14" t="s">
        <v>47</v>
      </c>
      <c r="Q14">
        <v>19451621</v>
      </c>
      <c r="R14" t="s">
        <v>774</v>
      </c>
      <c r="S14">
        <v>12.78</v>
      </c>
      <c r="T14">
        <v>4079</v>
      </c>
      <c r="U14">
        <v>1821</v>
      </c>
      <c r="V14">
        <v>2258</v>
      </c>
      <c r="W14">
        <v>1</v>
      </c>
      <c r="X14" t="s">
        <v>48</v>
      </c>
      <c r="Y14">
        <v>39667123</v>
      </c>
      <c r="Z14" t="s">
        <v>759</v>
      </c>
    </row>
    <row r="15" spans="1:27" x14ac:dyDescent="0.2">
      <c r="A15" t="s">
        <v>764</v>
      </c>
      <c r="B15" t="s">
        <v>54</v>
      </c>
      <c r="C15" t="s">
        <v>732</v>
      </c>
      <c r="D15">
        <v>2</v>
      </c>
      <c r="E15">
        <v>56008904</v>
      </c>
      <c r="F15" s="3">
        <v>9.9999999999999995E-7</v>
      </c>
      <c r="G15" t="s">
        <v>55</v>
      </c>
      <c r="H15">
        <v>0.39</v>
      </c>
      <c r="I15" s="7">
        <v>1.41</v>
      </c>
      <c r="J15" t="s">
        <v>16</v>
      </c>
      <c r="K15" s="7">
        <v>0.34358970439007686</v>
      </c>
      <c r="L15" t="s">
        <v>31</v>
      </c>
      <c r="M15" t="s">
        <v>56</v>
      </c>
      <c r="N15" t="s">
        <v>19</v>
      </c>
      <c r="O15" t="s">
        <v>20</v>
      </c>
      <c r="P15" t="s">
        <v>47</v>
      </c>
      <c r="Q15">
        <v>19451621</v>
      </c>
      <c r="R15" t="s">
        <v>774</v>
      </c>
      <c r="S15">
        <v>12.78</v>
      </c>
      <c r="T15">
        <v>4079</v>
      </c>
      <c r="U15">
        <v>1821</v>
      </c>
      <c r="V15">
        <v>2258</v>
      </c>
      <c r="W15">
        <v>1</v>
      </c>
      <c r="X15" t="s">
        <v>48</v>
      </c>
      <c r="Y15">
        <v>55781769</v>
      </c>
      <c r="Z15" t="s">
        <v>759</v>
      </c>
    </row>
    <row r="16" spans="1:27" x14ac:dyDescent="0.2">
      <c r="A16" t="s">
        <v>764</v>
      </c>
      <c r="B16" t="s">
        <v>57</v>
      </c>
      <c r="C16" t="s">
        <v>730</v>
      </c>
      <c r="D16">
        <v>18</v>
      </c>
      <c r="E16">
        <v>29273129</v>
      </c>
      <c r="F16" s="3">
        <v>9.9999999999999995E-7</v>
      </c>
      <c r="G16" t="s">
        <v>50</v>
      </c>
      <c r="H16">
        <v>0.12</v>
      </c>
      <c r="I16" s="7">
        <v>1.3</v>
      </c>
      <c r="J16" t="s">
        <v>16</v>
      </c>
      <c r="K16" s="7">
        <v>0.26236426446749106</v>
      </c>
      <c r="L16" t="s">
        <v>31</v>
      </c>
      <c r="M16" t="s">
        <v>58</v>
      </c>
      <c r="N16" t="s">
        <v>19</v>
      </c>
      <c r="O16" t="s">
        <v>20</v>
      </c>
      <c r="P16" t="s">
        <v>47</v>
      </c>
      <c r="Q16">
        <v>19451621</v>
      </c>
      <c r="R16" t="s">
        <v>774</v>
      </c>
      <c r="S16">
        <v>12.78</v>
      </c>
      <c r="T16">
        <v>4079</v>
      </c>
      <c r="U16">
        <v>1821</v>
      </c>
      <c r="V16">
        <v>2258</v>
      </c>
      <c r="W16">
        <v>1</v>
      </c>
      <c r="X16" t="s">
        <v>48</v>
      </c>
      <c r="Y16">
        <v>31693166</v>
      </c>
      <c r="Z16" t="s">
        <v>759</v>
      </c>
    </row>
    <row r="17" spans="1:27" x14ac:dyDescent="0.2">
      <c r="A17" t="s">
        <v>764</v>
      </c>
      <c r="B17" t="s">
        <v>59</v>
      </c>
      <c r="C17" t="s">
        <v>731</v>
      </c>
      <c r="D17">
        <v>17</v>
      </c>
      <c r="E17">
        <v>70696103</v>
      </c>
      <c r="F17" s="3">
        <v>7.9999999999999996E-6</v>
      </c>
      <c r="G17" t="s">
        <v>55</v>
      </c>
      <c r="H17" s="9">
        <v>0.2</v>
      </c>
      <c r="I17" s="8">
        <v>0.67600000000000005</v>
      </c>
      <c r="J17" t="s">
        <v>16</v>
      </c>
      <c r="K17" s="7">
        <v>-0.39156220293917288</v>
      </c>
      <c r="L17" t="s">
        <v>31</v>
      </c>
      <c r="M17" t="s">
        <v>60</v>
      </c>
      <c r="N17" t="s">
        <v>19</v>
      </c>
      <c r="O17" t="s">
        <v>20</v>
      </c>
      <c r="P17" t="s">
        <v>47</v>
      </c>
      <c r="Q17">
        <v>19451621</v>
      </c>
      <c r="R17" t="s">
        <v>774</v>
      </c>
      <c r="S17">
        <v>12.78</v>
      </c>
      <c r="T17">
        <v>4079</v>
      </c>
      <c r="U17">
        <v>1821</v>
      </c>
      <c r="V17">
        <v>2258</v>
      </c>
      <c r="W17">
        <v>1</v>
      </c>
      <c r="X17" t="s">
        <v>48</v>
      </c>
      <c r="Y17">
        <v>72699964</v>
      </c>
      <c r="Z17" t="s">
        <v>759</v>
      </c>
    </row>
    <row r="18" spans="1:27" x14ac:dyDescent="0.2">
      <c r="A18" t="s">
        <v>764</v>
      </c>
      <c r="B18" t="s">
        <v>61</v>
      </c>
      <c r="C18" t="s">
        <v>729</v>
      </c>
      <c r="D18">
        <v>6</v>
      </c>
      <c r="E18">
        <v>16742033</v>
      </c>
      <c r="F18" s="3">
        <v>3.9999999999999998E-6</v>
      </c>
      <c r="G18" t="s">
        <v>44</v>
      </c>
      <c r="H18" s="9">
        <v>0.27</v>
      </c>
      <c r="I18" s="7">
        <f>EXP(-2.036)</f>
        <v>0.13054986733998764</v>
      </c>
      <c r="J18" t="s">
        <v>62</v>
      </c>
      <c r="K18" s="7" cm="1">
        <f t="array" ref="K18:K19">LN(I18:I19)</f>
        <v>-2.036</v>
      </c>
      <c r="L18" t="s">
        <v>63</v>
      </c>
      <c r="M18" t="s">
        <v>64</v>
      </c>
      <c r="N18" t="s">
        <v>19</v>
      </c>
      <c r="O18" t="s">
        <v>20</v>
      </c>
      <c r="P18" t="s">
        <v>47</v>
      </c>
      <c r="Q18">
        <v>19451621</v>
      </c>
      <c r="R18" t="s">
        <v>774</v>
      </c>
      <c r="S18">
        <v>12.78</v>
      </c>
      <c r="T18">
        <v>4079</v>
      </c>
      <c r="U18">
        <v>1821</v>
      </c>
      <c r="V18">
        <v>2258</v>
      </c>
      <c r="W18">
        <v>1</v>
      </c>
      <c r="X18" t="s">
        <v>48</v>
      </c>
      <c r="Y18">
        <v>16741802</v>
      </c>
      <c r="Z18" t="s">
        <v>759</v>
      </c>
    </row>
    <row r="19" spans="1:27" x14ac:dyDescent="0.2">
      <c r="A19" t="s">
        <v>764</v>
      </c>
      <c r="B19" t="s">
        <v>768</v>
      </c>
      <c r="C19" t="s">
        <v>730</v>
      </c>
      <c r="D19">
        <v>1</v>
      </c>
      <c r="E19">
        <v>169676486</v>
      </c>
      <c r="F19" s="3">
        <v>3.9999999999999998E-6</v>
      </c>
      <c r="G19" t="s">
        <v>65</v>
      </c>
      <c r="H19" s="9">
        <v>0.3</v>
      </c>
      <c r="I19" s="7">
        <f>EXP(0.509)</f>
        <v>1.6636267361190586</v>
      </c>
      <c r="J19" t="s">
        <v>66</v>
      </c>
      <c r="K19" s="7">
        <v>0.5089999999999999</v>
      </c>
      <c r="L19" t="s">
        <v>67</v>
      </c>
      <c r="M19" t="s">
        <v>68</v>
      </c>
      <c r="N19" t="s">
        <v>19</v>
      </c>
      <c r="O19" t="s">
        <v>20</v>
      </c>
      <c r="P19" t="s">
        <v>47</v>
      </c>
      <c r="Q19">
        <v>19451621</v>
      </c>
      <c r="R19" t="s">
        <v>774</v>
      </c>
      <c r="S19">
        <v>12.78</v>
      </c>
      <c r="T19">
        <v>4079</v>
      </c>
      <c r="U19">
        <v>1821</v>
      </c>
      <c r="V19">
        <v>2258</v>
      </c>
      <c r="W19">
        <v>1</v>
      </c>
      <c r="X19" t="s">
        <v>48</v>
      </c>
      <c r="Y19">
        <v>169707345</v>
      </c>
      <c r="Z19" t="s">
        <v>759</v>
      </c>
    </row>
    <row r="20" spans="1:27" x14ac:dyDescent="0.2">
      <c r="A20" t="s">
        <v>764</v>
      </c>
      <c r="B20" t="s">
        <v>69</v>
      </c>
      <c r="D20">
        <v>21</v>
      </c>
      <c r="E20">
        <v>18046232</v>
      </c>
      <c r="F20" s="3">
        <v>9.0000000000000002E-6</v>
      </c>
      <c r="G20" t="s">
        <v>65</v>
      </c>
      <c r="J20" t="s">
        <v>16</v>
      </c>
      <c r="L20" t="s">
        <v>16</v>
      </c>
      <c r="M20" t="s">
        <v>70</v>
      </c>
      <c r="N20" t="s">
        <v>19</v>
      </c>
      <c r="O20" t="s">
        <v>20</v>
      </c>
      <c r="P20" t="s">
        <v>47</v>
      </c>
      <c r="Q20">
        <v>19451621</v>
      </c>
      <c r="R20" t="s">
        <v>774</v>
      </c>
      <c r="S20">
        <v>12.78</v>
      </c>
      <c r="T20">
        <v>4079</v>
      </c>
      <c r="U20">
        <v>1821</v>
      </c>
      <c r="V20">
        <v>2258</v>
      </c>
      <c r="W20">
        <v>1</v>
      </c>
      <c r="X20" t="s">
        <v>48</v>
      </c>
      <c r="Y20">
        <v>16673913</v>
      </c>
      <c r="Z20" t="s">
        <v>759</v>
      </c>
    </row>
    <row r="21" spans="1:27" x14ac:dyDescent="0.2">
      <c r="A21" t="s">
        <v>764</v>
      </c>
      <c r="B21" t="s">
        <v>71</v>
      </c>
      <c r="C21" t="s">
        <v>731</v>
      </c>
      <c r="D21">
        <v>1</v>
      </c>
      <c r="E21">
        <v>169995802</v>
      </c>
      <c r="F21" s="3">
        <v>2E-8</v>
      </c>
      <c r="G21" t="s">
        <v>65</v>
      </c>
      <c r="H21" s="9">
        <v>0.7</v>
      </c>
      <c r="I21" s="10">
        <f>EXP(-0.58)</f>
        <v>0.55989836656540204</v>
      </c>
      <c r="J21" t="s">
        <v>72</v>
      </c>
      <c r="K21" s="7">
        <v>0.57999999999999996</v>
      </c>
      <c r="L21" t="s">
        <v>73</v>
      </c>
      <c r="M21" t="s">
        <v>74</v>
      </c>
      <c r="N21" t="s">
        <v>19</v>
      </c>
      <c r="O21" t="s">
        <v>20</v>
      </c>
      <c r="P21" t="s">
        <v>47</v>
      </c>
      <c r="Q21">
        <v>19451621</v>
      </c>
      <c r="R21" t="s">
        <v>774</v>
      </c>
      <c r="S21">
        <v>12.78</v>
      </c>
      <c r="T21">
        <v>4079</v>
      </c>
      <c r="U21">
        <v>1821</v>
      </c>
      <c r="V21">
        <v>2258</v>
      </c>
      <c r="W21">
        <v>1</v>
      </c>
      <c r="X21" t="s">
        <v>48</v>
      </c>
      <c r="Y21">
        <v>170026661</v>
      </c>
      <c r="Z21" t="s">
        <v>759</v>
      </c>
      <c r="AA21" t="s">
        <v>737</v>
      </c>
    </row>
    <row r="22" spans="1:27" x14ac:dyDescent="0.2">
      <c r="A22" t="s">
        <v>764</v>
      </c>
      <c r="B22" t="s">
        <v>75</v>
      </c>
      <c r="D22">
        <v>2</v>
      </c>
      <c r="E22">
        <v>39109558</v>
      </c>
      <c r="F22" s="3">
        <v>7.9999999999999996E-6</v>
      </c>
      <c r="G22" t="s">
        <v>65</v>
      </c>
      <c r="J22" t="s">
        <v>16</v>
      </c>
      <c r="L22" t="s">
        <v>16</v>
      </c>
      <c r="M22" t="s">
        <v>76</v>
      </c>
      <c r="N22" t="s">
        <v>19</v>
      </c>
      <c r="O22" t="s">
        <v>20</v>
      </c>
      <c r="P22" t="s">
        <v>47</v>
      </c>
      <c r="Q22">
        <v>19451621</v>
      </c>
      <c r="R22" t="s">
        <v>774</v>
      </c>
      <c r="S22">
        <v>12.78</v>
      </c>
      <c r="T22">
        <v>4079</v>
      </c>
      <c r="U22">
        <v>1821</v>
      </c>
      <c r="V22">
        <v>2258</v>
      </c>
      <c r="W22">
        <v>1</v>
      </c>
      <c r="X22" t="s">
        <v>48</v>
      </c>
      <c r="Y22">
        <v>38882417</v>
      </c>
      <c r="Z22" t="s">
        <v>759</v>
      </c>
    </row>
    <row r="23" spans="1:27" x14ac:dyDescent="0.2">
      <c r="A23" t="s">
        <v>764</v>
      </c>
      <c r="B23" t="s">
        <v>77</v>
      </c>
      <c r="C23" t="s">
        <v>732</v>
      </c>
      <c r="D23">
        <v>5</v>
      </c>
      <c r="E23">
        <v>123119565</v>
      </c>
      <c r="F23" s="3">
        <v>3.0000000000000001E-6</v>
      </c>
      <c r="G23" t="s">
        <v>65</v>
      </c>
      <c r="H23" s="9">
        <v>0.09</v>
      </c>
      <c r="I23" s="10">
        <f>EXP(0.786)</f>
        <v>2.1946004442429121</v>
      </c>
      <c r="J23" t="s">
        <v>78</v>
      </c>
      <c r="K23" s="7">
        <v>0.79</v>
      </c>
      <c r="L23" t="s">
        <v>79</v>
      </c>
      <c r="M23" t="s">
        <v>16</v>
      </c>
      <c r="N23" t="s">
        <v>19</v>
      </c>
      <c r="O23" t="s">
        <v>20</v>
      </c>
      <c r="P23" t="s">
        <v>47</v>
      </c>
      <c r="Q23">
        <v>19451621</v>
      </c>
      <c r="R23" t="s">
        <v>774</v>
      </c>
      <c r="S23">
        <v>12.78</v>
      </c>
      <c r="T23">
        <v>4079</v>
      </c>
      <c r="U23">
        <v>1821</v>
      </c>
      <c r="V23">
        <v>2258</v>
      </c>
      <c r="W23">
        <v>1</v>
      </c>
      <c r="X23" t="s">
        <v>48</v>
      </c>
      <c r="Y23">
        <v>123783871</v>
      </c>
      <c r="Z23" t="s">
        <v>759</v>
      </c>
    </row>
    <row r="24" spans="1:27" x14ac:dyDescent="0.2">
      <c r="A24" t="s">
        <v>764</v>
      </c>
      <c r="B24" t="s">
        <v>80</v>
      </c>
      <c r="C24" t="s">
        <v>729</v>
      </c>
      <c r="D24">
        <v>7</v>
      </c>
      <c r="E24">
        <v>149203662</v>
      </c>
      <c r="F24" s="3">
        <v>4.0000000000000001E-8</v>
      </c>
      <c r="G24" t="s">
        <v>65</v>
      </c>
      <c r="H24" s="9">
        <v>0.93</v>
      </c>
      <c r="I24" s="8">
        <f>EXP(-1.08)</f>
        <v>0.33959552564493911</v>
      </c>
      <c r="J24" t="s">
        <v>81</v>
      </c>
      <c r="K24" s="7">
        <v>1.08</v>
      </c>
      <c r="L24" t="s">
        <v>82</v>
      </c>
      <c r="M24" t="s">
        <v>83</v>
      </c>
      <c r="N24" t="s">
        <v>19</v>
      </c>
      <c r="O24" t="s">
        <v>20</v>
      </c>
      <c r="P24" t="s">
        <v>47</v>
      </c>
      <c r="Q24">
        <v>19451621</v>
      </c>
      <c r="R24" t="s">
        <v>774</v>
      </c>
      <c r="S24">
        <v>12.78</v>
      </c>
      <c r="T24">
        <v>4079</v>
      </c>
      <c r="U24">
        <v>1821</v>
      </c>
      <c r="V24">
        <v>2258</v>
      </c>
      <c r="W24">
        <v>1</v>
      </c>
      <c r="X24" t="s">
        <v>48</v>
      </c>
      <c r="Y24">
        <v>149506571</v>
      </c>
      <c r="Z24" t="s">
        <v>759</v>
      </c>
      <c r="AA24" t="s">
        <v>737</v>
      </c>
    </row>
    <row r="25" spans="1:27" x14ac:dyDescent="0.2">
      <c r="A25" t="s">
        <v>764</v>
      </c>
      <c r="B25" t="s">
        <v>84</v>
      </c>
      <c r="C25" t="s">
        <v>729</v>
      </c>
      <c r="D25">
        <v>5</v>
      </c>
      <c r="E25">
        <v>115727838</v>
      </c>
      <c r="F25" s="3">
        <v>7.9999999999999996E-6</v>
      </c>
      <c r="G25" t="s">
        <v>55</v>
      </c>
      <c r="H25">
        <v>0.03</v>
      </c>
      <c r="I25" s="7">
        <v>2.0499999999999998</v>
      </c>
      <c r="J25" t="s">
        <v>16</v>
      </c>
      <c r="K25" s="7" cm="1">
        <f t="array" ref="K25:K27">LN(I25:I27)</f>
        <v>0.71783979315031676</v>
      </c>
      <c r="L25" t="s">
        <v>31</v>
      </c>
      <c r="M25" t="s">
        <v>85</v>
      </c>
      <c r="N25" t="s">
        <v>19</v>
      </c>
      <c r="O25" t="s">
        <v>20</v>
      </c>
      <c r="P25" t="s">
        <v>47</v>
      </c>
      <c r="Q25">
        <v>19451621</v>
      </c>
      <c r="R25" t="s">
        <v>774</v>
      </c>
      <c r="S25">
        <v>12.78</v>
      </c>
      <c r="T25">
        <v>4079</v>
      </c>
      <c r="U25">
        <v>1821</v>
      </c>
      <c r="V25">
        <v>2258</v>
      </c>
      <c r="W25">
        <v>1</v>
      </c>
      <c r="X25" t="s">
        <v>48</v>
      </c>
      <c r="Y25">
        <v>116392141</v>
      </c>
      <c r="Z25" t="s">
        <v>759</v>
      </c>
    </row>
    <row r="26" spans="1:27" x14ac:dyDescent="0.2">
      <c r="A26" t="s">
        <v>764</v>
      </c>
      <c r="B26" t="s">
        <v>86</v>
      </c>
      <c r="C26" t="s">
        <v>730</v>
      </c>
      <c r="D26">
        <v>2</v>
      </c>
      <c r="E26">
        <v>167377978</v>
      </c>
      <c r="F26" s="3">
        <v>6.9999999999999999E-6</v>
      </c>
      <c r="G26" t="s">
        <v>55</v>
      </c>
      <c r="H26">
        <v>0.34</v>
      </c>
      <c r="I26" s="7">
        <v>1.41</v>
      </c>
      <c r="J26" t="s">
        <v>16</v>
      </c>
      <c r="K26" s="7">
        <v>0.34358970439007686</v>
      </c>
      <c r="L26" t="s">
        <v>31</v>
      </c>
      <c r="M26" t="s">
        <v>87</v>
      </c>
      <c r="N26" t="s">
        <v>19</v>
      </c>
      <c r="O26" t="s">
        <v>20</v>
      </c>
      <c r="P26" t="s">
        <v>47</v>
      </c>
      <c r="Q26">
        <v>19451621</v>
      </c>
      <c r="R26" t="s">
        <v>774</v>
      </c>
      <c r="S26">
        <v>12.78</v>
      </c>
      <c r="T26">
        <v>4079</v>
      </c>
      <c r="U26">
        <v>1821</v>
      </c>
      <c r="V26">
        <v>2258</v>
      </c>
      <c r="W26">
        <v>1</v>
      </c>
      <c r="X26" t="s">
        <v>48</v>
      </c>
      <c r="Y26">
        <v>166521468</v>
      </c>
      <c r="Z26" t="s">
        <v>759</v>
      </c>
    </row>
    <row r="27" spans="1:27" x14ac:dyDescent="0.2">
      <c r="A27" t="s">
        <v>764</v>
      </c>
      <c r="B27" t="s">
        <v>88</v>
      </c>
      <c r="C27" t="s">
        <v>732</v>
      </c>
      <c r="D27">
        <v>2</v>
      </c>
      <c r="E27">
        <v>161380888</v>
      </c>
      <c r="F27" s="3">
        <v>9.0000000000000002E-6</v>
      </c>
      <c r="G27" t="s">
        <v>50</v>
      </c>
      <c r="H27">
        <v>0.47</v>
      </c>
      <c r="I27" s="7">
        <v>1.17</v>
      </c>
      <c r="J27" t="s">
        <v>16</v>
      </c>
      <c r="K27" s="7">
        <v>0.15700374880966469</v>
      </c>
      <c r="L27" t="s">
        <v>31</v>
      </c>
      <c r="M27" t="s">
        <v>89</v>
      </c>
      <c r="N27" t="s">
        <v>19</v>
      </c>
      <c r="O27" t="s">
        <v>20</v>
      </c>
      <c r="P27" t="s">
        <v>47</v>
      </c>
      <c r="Q27">
        <v>19451621</v>
      </c>
      <c r="R27" t="s">
        <v>774</v>
      </c>
      <c r="S27">
        <v>12.78</v>
      </c>
      <c r="T27">
        <v>4079</v>
      </c>
      <c r="U27">
        <v>1821</v>
      </c>
      <c r="V27">
        <v>2258</v>
      </c>
      <c r="W27">
        <v>1</v>
      </c>
      <c r="X27" t="s">
        <v>48</v>
      </c>
      <c r="Y27">
        <v>160524377</v>
      </c>
      <c r="Z27" t="s">
        <v>759</v>
      </c>
    </row>
    <row r="28" spans="1:27" x14ac:dyDescent="0.2">
      <c r="A28" t="s">
        <v>764</v>
      </c>
      <c r="B28" t="s">
        <v>90</v>
      </c>
      <c r="C28" t="s">
        <v>729</v>
      </c>
      <c r="D28">
        <v>9</v>
      </c>
      <c r="E28">
        <v>27491262</v>
      </c>
      <c r="F28" s="3">
        <v>2.9999999999999998E-15</v>
      </c>
      <c r="H28">
        <v>0.23499999999999999</v>
      </c>
      <c r="J28" t="s">
        <v>16</v>
      </c>
      <c r="L28" t="s">
        <v>16</v>
      </c>
      <c r="M28" t="s">
        <v>91</v>
      </c>
      <c r="N28" t="s">
        <v>19</v>
      </c>
      <c r="O28" t="s">
        <v>20</v>
      </c>
      <c r="P28" t="s">
        <v>92</v>
      </c>
      <c r="Q28">
        <v>25442119</v>
      </c>
      <c r="R28" t="s">
        <v>775</v>
      </c>
      <c r="S28">
        <v>5.133</v>
      </c>
      <c r="T28">
        <v>1204</v>
      </c>
      <c r="U28">
        <v>25</v>
      </c>
      <c r="V28">
        <v>1179</v>
      </c>
      <c r="W28">
        <v>1</v>
      </c>
      <c r="X28" t="s">
        <v>93</v>
      </c>
      <c r="Y28">
        <v>27491264</v>
      </c>
      <c r="Z28" t="s">
        <v>758</v>
      </c>
      <c r="AA28" t="s">
        <v>737</v>
      </c>
    </row>
    <row r="29" spans="1:27" x14ac:dyDescent="0.2">
      <c r="A29" t="s">
        <v>764</v>
      </c>
      <c r="B29" t="s">
        <v>94</v>
      </c>
      <c r="C29" t="s">
        <v>732</v>
      </c>
      <c r="D29">
        <v>1</v>
      </c>
      <c r="E29">
        <v>22725825</v>
      </c>
      <c r="F29" s="3">
        <v>1.9999999999999999E-6</v>
      </c>
      <c r="H29">
        <v>0.153</v>
      </c>
      <c r="I29" s="7">
        <v>2.4119999999999999</v>
      </c>
      <c r="J29" t="s">
        <v>16</v>
      </c>
      <c r="K29" s="7" cm="1">
        <f t="array" ref="K29:K36">LN(I29:I36)</f>
        <v>0.88045627886493893</v>
      </c>
      <c r="L29" t="s">
        <v>31</v>
      </c>
      <c r="M29" t="s">
        <v>95</v>
      </c>
      <c r="N29" t="s">
        <v>19</v>
      </c>
      <c r="O29" t="s">
        <v>20</v>
      </c>
      <c r="P29" t="s">
        <v>96</v>
      </c>
      <c r="Q29">
        <v>26580837</v>
      </c>
      <c r="R29" t="s">
        <v>776</v>
      </c>
      <c r="S29">
        <v>2.4980000000000002</v>
      </c>
      <c r="T29">
        <v>470</v>
      </c>
      <c r="U29">
        <v>94</v>
      </c>
      <c r="V29">
        <v>376</v>
      </c>
      <c r="W29">
        <v>1</v>
      </c>
      <c r="X29" t="s">
        <v>97</v>
      </c>
      <c r="Y29">
        <v>22399332</v>
      </c>
      <c r="Z29" t="s">
        <v>760</v>
      </c>
    </row>
    <row r="30" spans="1:27" x14ac:dyDescent="0.2">
      <c r="A30" t="s">
        <v>764</v>
      </c>
      <c r="B30" t="s">
        <v>98</v>
      </c>
      <c r="C30" t="s">
        <v>729</v>
      </c>
      <c r="D30">
        <v>3</v>
      </c>
      <c r="E30">
        <v>124172250</v>
      </c>
      <c r="F30" s="3">
        <v>1.9999999999999999E-6</v>
      </c>
      <c r="H30">
        <v>0.106</v>
      </c>
      <c r="I30" s="7">
        <v>2.6429999999999998</v>
      </c>
      <c r="J30" t="s">
        <v>16</v>
      </c>
      <c r="K30" s="7">
        <v>0.97191463562215208</v>
      </c>
      <c r="L30" t="s">
        <v>31</v>
      </c>
      <c r="M30" t="s">
        <v>99</v>
      </c>
      <c r="N30" t="s">
        <v>19</v>
      </c>
      <c r="O30" t="s">
        <v>20</v>
      </c>
      <c r="P30" t="s">
        <v>96</v>
      </c>
      <c r="Q30">
        <v>26580837</v>
      </c>
      <c r="R30" t="s">
        <v>776</v>
      </c>
      <c r="S30">
        <v>2.4980000000000002</v>
      </c>
      <c r="T30">
        <v>470</v>
      </c>
      <c r="U30">
        <v>94</v>
      </c>
      <c r="V30">
        <v>376</v>
      </c>
      <c r="W30">
        <v>1</v>
      </c>
      <c r="X30" t="s">
        <v>97</v>
      </c>
      <c r="Y30">
        <v>124453403</v>
      </c>
      <c r="Z30" t="s">
        <v>760</v>
      </c>
    </row>
    <row r="31" spans="1:27" x14ac:dyDescent="0.2">
      <c r="A31" t="s">
        <v>764</v>
      </c>
      <c r="B31" t="s">
        <v>100</v>
      </c>
      <c r="C31" t="s">
        <v>732</v>
      </c>
      <c r="D31">
        <v>9</v>
      </c>
      <c r="E31">
        <v>32888520</v>
      </c>
      <c r="F31" s="3">
        <v>9.9999999999999995E-7</v>
      </c>
      <c r="H31">
        <v>5.5E-2</v>
      </c>
      <c r="I31" s="7">
        <v>3.2930000000000001</v>
      </c>
      <c r="J31" t="s">
        <v>16</v>
      </c>
      <c r="K31" s="7">
        <v>1.1917990033942272</v>
      </c>
      <c r="L31" t="s">
        <v>31</v>
      </c>
      <c r="M31" t="s">
        <v>101</v>
      </c>
      <c r="N31" t="s">
        <v>19</v>
      </c>
      <c r="O31" t="s">
        <v>20</v>
      </c>
      <c r="P31" t="s">
        <v>96</v>
      </c>
      <c r="Q31">
        <v>26580837</v>
      </c>
      <c r="R31" t="s">
        <v>776</v>
      </c>
      <c r="S31">
        <v>2.4980000000000002</v>
      </c>
      <c r="T31">
        <v>470</v>
      </c>
      <c r="U31">
        <v>94</v>
      </c>
      <c r="V31">
        <v>376</v>
      </c>
      <c r="W31">
        <v>1</v>
      </c>
      <c r="X31" t="s">
        <v>97</v>
      </c>
      <c r="Y31">
        <v>32888522</v>
      </c>
      <c r="Z31" t="s">
        <v>760</v>
      </c>
    </row>
    <row r="32" spans="1:27" x14ac:dyDescent="0.2">
      <c r="A32" t="s">
        <v>764</v>
      </c>
      <c r="B32" t="s">
        <v>102</v>
      </c>
      <c r="C32" t="s">
        <v>732</v>
      </c>
      <c r="D32">
        <v>11</v>
      </c>
      <c r="E32">
        <v>134740773</v>
      </c>
      <c r="F32" s="3">
        <v>8.9999999999999996E-7</v>
      </c>
      <c r="H32">
        <v>0.219</v>
      </c>
      <c r="I32" s="7">
        <v>2.319</v>
      </c>
      <c r="J32" t="s">
        <v>16</v>
      </c>
      <c r="K32" s="7">
        <v>0.84113605827339455</v>
      </c>
      <c r="L32" t="s">
        <v>31</v>
      </c>
      <c r="M32" t="s">
        <v>103</v>
      </c>
      <c r="N32" t="s">
        <v>19</v>
      </c>
      <c r="O32" t="s">
        <v>20</v>
      </c>
      <c r="P32" t="s">
        <v>96</v>
      </c>
      <c r="Q32">
        <v>26580837</v>
      </c>
      <c r="R32" t="s">
        <v>776</v>
      </c>
      <c r="S32">
        <v>2.4980000000000002</v>
      </c>
      <c r="T32">
        <v>470</v>
      </c>
      <c r="U32">
        <v>94</v>
      </c>
      <c r="V32">
        <v>376</v>
      </c>
      <c r="W32">
        <v>1</v>
      </c>
      <c r="X32" t="s">
        <v>97</v>
      </c>
      <c r="Y32">
        <v>134870879</v>
      </c>
      <c r="Z32" t="s">
        <v>760</v>
      </c>
    </row>
    <row r="33" spans="1:27" x14ac:dyDescent="0.2">
      <c r="A33" t="s">
        <v>764</v>
      </c>
      <c r="B33" t="s">
        <v>104</v>
      </c>
      <c r="C33" t="s">
        <v>729</v>
      </c>
      <c r="D33">
        <v>13</v>
      </c>
      <c r="E33">
        <v>54929198</v>
      </c>
      <c r="F33" s="3">
        <v>7.9999999999999996E-7</v>
      </c>
      <c r="H33">
        <v>0.26400000000000001</v>
      </c>
      <c r="I33" s="7">
        <v>2.2909999999999999</v>
      </c>
      <c r="J33" t="s">
        <v>16</v>
      </c>
      <c r="K33" s="7">
        <v>0.82898840347135838</v>
      </c>
      <c r="L33" t="s">
        <v>31</v>
      </c>
      <c r="M33" t="s">
        <v>105</v>
      </c>
      <c r="N33" t="s">
        <v>19</v>
      </c>
      <c r="O33" t="s">
        <v>20</v>
      </c>
      <c r="P33" t="s">
        <v>96</v>
      </c>
      <c r="Q33">
        <v>26580837</v>
      </c>
      <c r="R33" t="s">
        <v>776</v>
      </c>
      <c r="S33">
        <v>2.4980000000000002</v>
      </c>
      <c r="T33">
        <v>470</v>
      </c>
      <c r="U33">
        <v>94</v>
      </c>
      <c r="V33">
        <v>376</v>
      </c>
      <c r="W33">
        <v>1</v>
      </c>
      <c r="X33" t="s">
        <v>97</v>
      </c>
      <c r="Y33">
        <v>54355063</v>
      </c>
      <c r="Z33" t="s">
        <v>760</v>
      </c>
    </row>
    <row r="34" spans="1:27" x14ac:dyDescent="0.2">
      <c r="A34" t="s">
        <v>764</v>
      </c>
      <c r="B34" t="s">
        <v>106</v>
      </c>
      <c r="C34" t="s">
        <v>730</v>
      </c>
      <c r="D34">
        <v>18</v>
      </c>
      <c r="E34">
        <v>71021568</v>
      </c>
      <c r="F34" s="3">
        <v>9.0000000000000002E-6</v>
      </c>
      <c r="H34">
        <v>9.9000000000000005E-2</v>
      </c>
      <c r="I34" s="7">
        <v>2.5329999999999999</v>
      </c>
      <c r="J34" t="s">
        <v>16</v>
      </c>
      <c r="K34" s="7">
        <v>0.9294043710195381</v>
      </c>
      <c r="L34" t="s">
        <v>31</v>
      </c>
      <c r="M34" t="s">
        <v>107</v>
      </c>
      <c r="N34" t="s">
        <v>19</v>
      </c>
      <c r="O34" t="s">
        <v>20</v>
      </c>
      <c r="P34" t="s">
        <v>96</v>
      </c>
      <c r="Q34">
        <v>26580837</v>
      </c>
      <c r="R34" t="s">
        <v>776</v>
      </c>
      <c r="S34">
        <v>2.4980000000000002</v>
      </c>
      <c r="T34">
        <v>470</v>
      </c>
      <c r="U34">
        <v>94</v>
      </c>
      <c r="V34">
        <v>376</v>
      </c>
      <c r="W34">
        <v>1</v>
      </c>
      <c r="X34" t="s">
        <v>97</v>
      </c>
      <c r="Y34">
        <v>73354333</v>
      </c>
      <c r="Z34" t="s">
        <v>760</v>
      </c>
    </row>
    <row r="35" spans="1:27" x14ac:dyDescent="0.2">
      <c r="A35" t="s">
        <v>764</v>
      </c>
      <c r="B35" t="s">
        <v>108</v>
      </c>
      <c r="D35">
        <v>18</v>
      </c>
      <c r="E35">
        <v>77573548</v>
      </c>
      <c r="F35" s="3">
        <v>9.0000000000000002E-6</v>
      </c>
      <c r="H35" s="9">
        <v>0.35</v>
      </c>
      <c r="I35" s="7">
        <v>1.1499999999999999</v>
      </c>
      <c r="J35" t="s">
        <v>16</v>
      </c>
      <c r="K35" s="7">
        <v>0.13976194237515863</v>
      </c>
      <c r="L35" t="s">
        <v>31</v>
      </c>
      <c r="M35" t="s">
        <v>109</v>
      </c>
      <c r="N35" t="s">
        <v>19</v>
      </c>
      <c r="O35" t="s">
        <v>20</v>
      </c>
      <c r="P35" t="s">
        <v>110</v>
      </c>
      <c r="Q35">
        <v>20801717</v>
      </c>
      <c r="R35" t="s">
        <v>777</v>
      </c>
      <c r="S35">
        <v>44.18</v>
      </c>
      <c r="T35">
        <v>13844</v>
      </c>
      <c r="U35">
        <v>4857</v>
      </c>
      <c r="V35">
        <v>8987</v>
      </c>
      <c r="W35">
        <v>1</v>
      </c>
      <c r="X35" t="s">
        <v>111</v>
      </c>
      <c r="Y35">
        <v>79813548</v>
      </c>
      <c r="Z35" t="s">
        <v>758</v>
      </c>
    </row>
    <row r="36" spans="1:27" x14ac:dyDescent="0.2">
      <c r="A36" t="s">
        <v>764</v>
      </c>
      <c r="B36" t="s">
        <v>112</v>
      </c>
      <c r="C36" t="s">
        <v>731</v>
      </c>
      <c r="D36">
        <v>11</v>
      </c>
      <c r="E36">
        <v>89345025</v>
      </c>
      <c r="F36" s="3">
        <v>3.0000000000000001E-6</v>
      </c>
      <c r="H36" s="9">
        <v>0.4</v>
      </c>
      <c r="I36" s="7">
        <v>1.145</v>
      </c>
      <c r="J36" t="s">
        <v>16</v>
      </c>
      <c r="K36" s="7">
        <v>0.13540463700620298</v>
      </c>
      <c r="L36" t="s">
        <v>31</v>
      </c>
      <c r="M36" t="s">
        <v>113</v>
      </c>
      <c r="N36" t="s">
        <v>19</v>
      </c>
      <c r="O36" t="s">
        <v>20</v>
      </c>
      <c r="P36" t="s">
        <v>110</v>
      </c>
      <c r="Q36">
        <v>20801717</v>
      </c>
      <c r="R36" t="s">
        <v>777</v>
      </c>
      <c r="S36">
        <v>44.18</v>
      </c>
      <c r="T36">
        <v>13844</v>
      </c>
      <c r="U36">
        <v>4857</v>
      </c>
      <c r="V36">
        <v>8987</v>
      </c>
      <c r="W36">
        <v>1</v>
      </c>
      <c r="X36" t="s">
        <v>111</v>
      </c>
      <c r="Y36">
        <v>89611857</v>
      </c>
      <c r="Z36" t="s">
        <v>758</v>
      </c>
    </row>
    <row r="37" spans="1:27" x14ac:dyDescent="0.2">
      <c r="A37" t="s">
        <v>764</v>
      </c>
      <c r="B37" t="s">
        <v>39</v>
      </c>
      <c r="C37" t="s">
        <v>739</v>
      </c>
      <c r="D37">
        <v>9</v>
      </c>
      <c r="E37">
        <v>27543281</v>
      </c>
      <c r="F37" s="3">
        <v>5.0000000000000002E-11</v>
      </c>
      <c r="H37">
        <v>0.56999999999999995</v>
      </c>
      <c r="J37" t="s">
        <v>16</v>
      </c>
      <c r="L37" t="s">
        <v>16</v>
      </c>
      <c r="M37" t="s">
        <v>114</v>
      </c>
      <c r="N37" t="s">
        <v>19</v>
      </c>
      <c r="O37" t="s">
        <v>20</v>
      </c>
      <c r="P37" t="s">
        <v>110</v>
      </c>
      <c r="Q37">
        <v>20801717</v>
      </c>
      <c r="R37" t="s">
        <v>777</v>
      </c>
      <c r="S37">
        <v>44.18</v>
      </c>
      <c r="T37">
        <v>13844</v>
      </c>
      <c r="U37">
        <v>4857</v>
      </c>
      <c r="V37">
        <v>8987</v>
      </c>
      <c r="W37">
        <v>7</v>
      </c>
      <c r="X37" t="s">
        <v>111</v>
      </c>
      <c r="Y37">
        <v>27543283</v>
      </c>
      <c r="Z37" t="s">
        <v>758</v>
      </c>
      <c r="AA37" t="s">
        <v>737</v>
      </c>
    </row>
    <row r="38" spans="1:27" x14ac:dyDescent="0.2">
      <c r="A38" t="s">
        <v>764</v>
      </c>
      <c r="B38" t="s">
        <v>39</v>
      </c>
      <c r="C38" t="s">
        <v>740</v>
      </c>
      <c r="D38">
        <v>9</v>
      </c>
      <c r="E38">
        <v>27543281</v>
      </c>
      <c r="F38" s="3">
        <v>8.0000000000000003E-10</v>
      </c>
      <c r="H38">
        <v>0.23</v>
      </c>
      <c r="J38" t="s">
        <v>16</v>
      </c>
      <c r="L38" t="s">
        <v>16</v>
      </c>
      <c r="M38" t="s">
        <v>114</v>
      </c>
      <c r="N38" t="s">
        <v>19</v>
      </c>
      <c r="O38" t="s">
        <v>20</v>
      </c>
      <c r="P38" t="s">
        <v>110</v>
      </c>
      <c r="Q38">
        <v>20801717</v>
      </c>
      <c r="R38" t="s">
        <v>777</v>
      </c>
      <c r="S38">
        <v>44.18</v>
      </c>
      <c r="T38">
        <v>13844</v>
      </c>
      <c r="U38">
        <v>4857</v>
      </c>
      <c r="V38">
        <v>8987</v>
      </c>
      <c r="W38">
        <v>7</v>
      </c>
      <c r="X38" t="s">
        <v>111</v>
      </c>
      <c r="Y38">
        <v>27543283</v>
      </c>
      <c r="Z38" t="s">
        <v>758</v>
      </c>
    </row>
    <row r="39" spans="1:27" x14ac:dyDescent="0.2">
      <c r="A39" t="s">
        <v>737</v>
      </c>
      <c r="B39" t="s">
        <v>738</v>
      </c>
      <c r="D39">
        <v>9</v>
      </c>
      <c r="E39">
        <v>27556780</v>
      </c>
      <c r="F39" s="3">
        <v>5.0000000000000002E-11</v>
      </c>
      <c r="H39" s="9">
        <v>0.2</v>
      </c>
      <c r="M39" t="s">
        <v>114</v>
      </c>
      <c r="N39" t="s">
        <v>19</v>
      </c>
      <c r="O39" t="s">
        <v>20</v>
      </c>
      <c r="P39" t="s">
        <v>110</v>
      </c>
      <c r="Q39">
        <v>20801717</v>
      </c>
      <c r="R39" t="s">
        <v>777</v>
      </c>
      <c r="S39">
        <v>44.18</v>
      </c>
      <c r="T39">
        <v>13844</v>
      </c>
      <c r="U39">
        <v>4857</v>
      </c>
      <c r="V39">
        <v>8987</v>
      </c>
      <c r="W39">
        <v>1</v>
      </c>
      <c r="X39" t="s">
        <v>111</v>
      </c>
      <c r="Y39">
        <v>27556782</v>
      </c>
      <c r="Z39" t="s">
        <v>758</v>
      </c>
      <c r="AA39" t="s">
        <v>737</v>
      </c>
    </row>
    <row r="40" spans="1:27" x14ac:dyDescent="0.2">
      <c r="A40" t="s">
        <v>764</v>
      </c>
      <c r="B40" t="s">
        <v>115</v>
      </c>
      <c r="D40">
        <v>2</v>
      </c>
      <c r="E40">
        <v>18234446</v>
      </c>
      <c r="F40" s="3">
        <v>1.9999999999999999E-6</v>
      </c>
      <c r="H40" s="9">
        <v>0.15</v>
      </c>
      <c r="I40" s="7">
        <v>2.1</v>
      </c>
      <c r="J40" t="s">
        <v>16</v>
      </c>
      <c r="K40" s="7" cm="1">
        <f t="array" ref="K40:K121">LN(I40:I121)</f>
        <v>0.74193734472937733</v>
      </c>
      <c r="L40" t="s">
        <v>116</v>
      </c>
      <c r="M40" t="s">
        <v>117</v>
      </c>
      <c r="N40" t="s">
        <v>19</v>
      </c>
      <c r="O40" t="s">
        <v>20</v>
      </c>
      <c r="P40" t="s">
        <v>118</v>
      </c>
      <c r="Q40">
        <v>17362836</v>
      </c>
      <c r="R40" t="s">
        <v>777</v>
      </c>
      <c r="S40">
        <v>44.18</v>
      </c>
      <c r="T40">
        <v>547</v>
      </c>
      <c r="U40">
        <v>276</v>
      </c>
      <c r="V40">
        <v>271</v>
      </c>
      <c r="W40">
        <v>1</v>
      </c>
      <c r="X40" t="s">
        <v>119</v>
      </c>
      <c r="Y40">
        <v>18053180</v>
      </c>
      <c r="Z40" t="s">
        <v>758</v>
      </c>
    </row>
    <row r="41" spans="1:27" x14ac:dyDescent="0.2">
      <c r="A41" t="s">
        <v>764</v>
      </c>
      <c r="B41" t="s">
        <v>120</v>
      </c>
      <c r="D41">
        <v>4</v>
      </c>
      <c r="E41">
        <v>153893354</v>
      </c>
      <c r="F41" s="3">
        <v>9.0000000000000002E-6</v>
      </c>
      <c r="H41" s="9">
        <v>0.4</v>
      </c>
      <c r="I41" s="7">
        <v>1</v>
      </c>
      <c r="J41" t="s">
        <v>16</v>
      </c>
      <c r="K41" s="7">
        <v>0</v>
      </c>
      <c r="L41" t="s">
        <v>121</v>
      </c>
      <c r="M41" t="s">
        <v>122</v>
      </c>
      <c r="N41" t="s">
        <v>19</v>
      </c>
      <c r="O41" t="s">
        <v>20</v>
      </c>
      <c r="P41" t="s">
        <v>118</v>
      </c>
      <c r="Q41">
        <v>17362836</v>
      </c>
      <c r="R41" t="s">
        <v>777</v>
      </c>
      <c r="S41">
        <v>44.18</v>
      </c>
      <c r="T41">
        <v>547</v>
      </c>
      <c r="U41">
        <v>276</v>
      </c>
      <c r="V41">
        <v>271</v>
      </c>
      <c r="W41">
        <v>1</v>
      </c>
      <c r="X41" t="s">
        <v>119</v>
      </c>
      <c r="Y41">
        <v>152972202</v>
      </c>
      <c r="Z41" t="s">
        <v>758</v>
      </c>
    </row>
    <row r="42" spans="1:27" x14ac:dyDescent="0.2">
      <c r="A42" t="s">
        <v>764</v>
      </c>
      <c r="B42" t="s">
        <v>123</v>
      </c>
      <c r="D42">
        <v>10</v>
      </c>
      <c r="E42">
        <v>129274503</v>
      </c>
      <c r="F42" s="3">
        <v>6.9999999999999997E-7</v>
      </c>
      <c r="H42" s="9">
        <v>0.42</v>
      </c>
      <c r="I42" s="7">
        <v>1.9</v>
      </c>
      <c r="J42" t="s">
        <v>16</v>
      </c>
      <c r="K42" s="7">
        <v>0.64185388617239469</v>
      </c>
      <c r="L42" t="s">
        <v>124</v>
      </c>
      <c r="M42" t="s">
        <v>16</v>
      </c>
      <c r="N42" t="s">
        <v>19</v>
      </c>
      <c r="O42" t="s">
        <v>20</v>
      </c>
      <c r="P42" t="s">
        <v>118</v>
      </c>
      <c r="Q42">
        <v>17362836</v>
      </c>
      <c r="R42" t="s">
        <v>777</v>
      </c>
      <c r="S42">
        <v>44.18</v>
      </c>
      <c r="T42">
        <v>547</v>
      </c>
      <c r="U42">
        <v>276</v>
      </c>
      <c r="V42">
        <v>271</v>
      </c>
      <c r="W42">
        <v>1</v>
      </c>
      <c r="X42" t="s">
        <v>119</v>
      </c>
      <c r="Y42">
        <v>127476239</v>
      </c>
      <c r="Z42" t="s">
        <v>758</v>
      </c>
    </row>
    <row r="43" spans="1:27" x14ac:dyDescent="0.2">
      <c r="A43" t="s">
        <v>764</v>
      </c>
      <c r="B43" t="s">
        <v>125</v>
      </c>
      <c r="D43">
        <v>8</v>
      </c>
      <c r="E43">
        <v>136871739</v>
      </c>
      <c r="F43" s="3">
        <v>3.0000000000000001E-6</v>
      </c>
      <c r="H43" s="9">
        <v>0.2</v>
      </c>
      <c r="I43" s="7">
        <v>1.67</v>
      </c>
      <c r="J43" t="s">
        <v>16</v>
      </c>
      <c r="K43" s="7">
        <v>0.51282362642866375</v>
      </c>
      <c r="L43" t="s">
        <v>126</v>
      </c>
      <c r="M43" t="s">
        <v>127</v>
      </c>
      <c r="N43" t="s">
        <v>19</v>
      </c>
      <c r="O43" t="s">
        <v>20</v>
      </c>
      <c r="P43" t="s">
        <v>118</v>
      </c>
      <c r="Q43">
        <v>17362836</v>
      </c>
      <c r="R43" t="s">
        <v>777</v>
      </c>
      <c r="S43">
        <v>44.18</v>
      </c>
      <c r="T43">
        <v>547</v>
      </c>
      <c r="U43">
        <v>276</v>
      </c>
      <c r="V43">
        <v>271</v>
      </c>
      <c r="W43">
        <v>1</v>
      </c>
      <c r="X43" t="s">
        <v>119</v>
      </c>
      <c r="Y43">
        <v>135859496</v>
      </c>
      <c r="Z43" t="s">
        <v>758</v>
      </c>
    </row>
    <row r="44" spans="1:27" x14ac:dyDescent="0.2">
      <c r="A44" t="s">
        <v>764</v>
      </c>
      <c r="B44" t="s">
        <v>128</v>
      </c>
      <c r="D44">
        <v>20</v>
      </c>
      <c r="E44">
        <v>50702633</v>
      </c>
      <c r="F44" s="3">
        <v>5.0000000000000004E-6</v>
      </c>
      <c r="H44" s="9">
        <v>0.45</v>
      </c>
      <c r="I44" s="7">
        <v>1.43</v>
      </c>
      <c r="J44" t="s">
        <v>16</v>
      </c>
      <c r="K44" s="7">
        <v>0.35767444427181588</v>
      </c>
      <c r="L44" t="s">
        <v>129</v>
      </c>
      <c r="M44" t="s">
        <v>130</v>
      </c>
      <c r="N44" t="s">
        <v>19</v>
      </c>
      <c r="O44" t="s">
        <v>20</v>
      </c>
      <c r="P44" t="s">
        <v>118</v>
      </c>
      <c r="Q44">
        <v>17362836</v>
      </c>
      <c r="R44" t="s">
        <v>777</v>
      </c>
      <c r="S44">
        <v>44.18</v>
      </c>
      <c r="T44">
        <v>547</v>
      </c>
      <c r="U44">
        <v>276</v>
      </c>
      <c r="V44">
        <v>271</v>
      </c>
      <c r="W44">
        <v>1</v>
      </c>
      <c r="X44" t="s">
        <v>119</v>
      </c>
      <c r="Y44">
        <v>52086094</v>
      </c>
      <c r="Z44" t="s">
        <v>758</v>
      </c>
    </row>
    <row r="45" spans="1:27" x14ac:dyDescent="0.2">
      <c r="A45" t="s">
        <v>764</v>
      </c>
      <c r="B45" t="s">
        <v>131</v>
      </c>
      <c r="D45">
        <v>9</v>
      </c>
      <c r="E45">
        <v>114850190</v>
      </c>
      <c r="F45" s="3">
        <v>6.0000000000000002E-6</v>
      </c>
      <c r="H45" s="9">
        <v>0.27</v>
      </c>
      <c r="I45" s="7">
        <v>1.1100000000000001</v>
      </c>
      <c r="J45" t="s">
        <v>16</v>
      </c>
      <c r="K45" s="7">
        <v>0.10436001532424286</v>
      </c>
      <c r="L45" t="s">
        <v>132</v>
      </c>
      <c r="M45" t="s">
        <v>133</v>
      </c>
      <c r="N45" t="s">
        <v>19</v>
      </c>
      <c r="O45" t="s">
        <v>20</v>
      </c>
      <c r="P45" t="s">
        <v>118</v>
      </c>
      <c r="Q45">
        <v>17362836</v>
      </c>
      <c r="R45" t="s">
        <v>777</v>
      </c>
      <c r="S45">
        <v>44.18</v>
      </c>
      <c r="T45">
        <v>547</v>
      </c>
      <c r="U45">
        <v>276</v>
      </c>
      <c r="V45">
        <v>271</v>
      </c>
      <c r="W45">
        <v>1</v>
      </c>
      <c r="X45" t="s">
        <v>119</v>
      </c>
      <c r="Y45">
        <v>112087910</v>
      </c>
      <c r="Z45" t="s">
        <v>758</v>
      </c>
    </row>
    <row r="46" spans="1:27" x14ac:dyDescent="0.2">
      <c r="A46" t="s">
        <v>764</v>
      </c>
      <c r="B46" t="s">
        <v>134</v>
      </c>
      <c r="D46">
        <v>7</v>
      </c>
      <c r="E46">
        <v>154210798</v>
      </c>
      <c r="F46" s="3">
        <v>3.0000000000000001E-6</v>
      </c>
      <c r="H46">
        <v>0.37</v>
      </c>
      <c r="I46" s="7">
        <v>1.37</v>
      </c>
      <c r="J46" t="s">
        <v>16</v>
      </c>
      <c r="K46" s="7">
        <v>0.3148107398400336</v>
      </c>
      <c r="L46" t="s">
        <v>135</v>
      </c>
      <c r="M46" t="s">
        <v>136</v>
      </c>
      <c r="N46" t="s">
        <v>19</v>
      </c>
      <c r="O46" t="s">
        <v>20</v>
      </c>
      <c r="P46" t="s">
        <v>137</v>
      </c>
      <c r="Q46">
        <v>18057069</v>
      </c>
      <c r="R46" t="s">
        <v>778</v>
      </c>
      <c r="S46">
        <v>6.15</v>
      </c>
      <c r="T46">
        <v>432</v>
      </c>
      <c r="U46">
        <v>221</v>
      </c>
      <c r="V46">
        <v>211</v>
      </c>
      <c r="W46">
        <v>3</v>
      </c>
      <c r="X46" t="s">
        <v>138</v>
      </c>
      <c r="Y46">
        <v>154513713</v>
      </c>
      <c r="Z46" t="s">
        <v>758</v>
      </c>
    </row>
    <row r="47" spans="1:27" x14ac:dyDescent="0.2">
      <c r="A47" t="s">
        <v>764</v>
      </c>
      <c r="B47" t="s">
        <v>134</v>
      </c>
      <c r="C47" t="s">
        <v>731</v>
      </c>
      <c r="D47">
        <v>7</v>
      </c>
      <c r="E47">
        <v>154210798</v>
      </c>
      <c r="F47" s="3">
        <v>3.0000000000000001E-6</v>
      </c>
      <c r="H47">
        <v>0.35</v>
      </c>
      <c r="I47" s="7">
        <v>1.37</v>
      </c>
      <c r="J47" t="s">
        <v>16</v>
      </c>
      <c r="K47" s="7">
        <v>0.3148107398400336</v>
      </c>
      <c r="L47" t="s">
        <v>135</v>
      </c>
      <c r="M47" t="s">
        <v>136</v>
      </c>
      <c r="N47" t="s">
        <v>19</v>
      </c>
      <c r="O47" t="s">
        <v>20</v>
      </c>
      <c r="P47" t="s">
        <v>139</v>
      </c>
      <c r="Q47">
        <v>18987618</v>
      </c>
      <c r="R47" t="s">
        <v>779</v>
      </c>
      <c r="S47">
        <v>5.351</v>
      </c>
      <c r="T47">
        <v>1890</v>
      </c>
      <c r="U47">
        <v>958</v>
      </c>
      <c r="V47">
        <v>932</v>
      </c>
      <c r="W47">
        <v>3</v>
      </c>
      <c r="X47" t="s">
        <v>138</v>
      </c>
      <c r="Y47">
        <v>154513713</v>
      </c>
      <c r="Z47" t="s">
        <v>758</v>
      </c>
    </row>
    <row r="48" spans="1:27" x14ac:dyDescent="0.2">
      <c r="A48" t="s">
        <v>764</v>
      </c>
      <c r="B48" t="s">
        <v>140</v>
      </c>
      <c r="C48" t="s">
        <v>731</v>
      </c>
      <c r="D48">
        <v>2</v>
      </c>
      <c r="E48">
        <v>219545309</v>
      </c>
      <c r="F48" s="3">
        <v>5.9999999999999997E-7</v>
      </c>
      <c r="G48" t="s">
        <v>141</v>
      </c>
      <c r="H48">
        <v>0.43</v>
      </c>
      <c r="I48" s="7">
        <v>1.17</v>
      </c>
      <c r="J48" t="s">
        <v>16</v>
      </c>
      <c r="K48" s="7">
        <v>0.15700374880966469</v>
      </c>
      <c r="L48" t="s">
        <v>142</v>
      </c>
      <c r="M48" t="s">
        <v>143</v>
      </c>
      <c r="N48" t="s">
        <v>19</v>
      </c>
      <c r="O48" t="s">
        <v>20</v>
      </c>
      <c r="P48" t="s">
        <v>144</v>
      </c>
      <c r="Q48">
        <v>22959728</v>
      </c>
      <c r="R48" t="s">
        <v>775</v>
      </c>
      <c r="S48">
        <v>5.133</v>
      </c>
      <c r="T48">
        <v>9355</v>
      </c>
      <c r="U48">
        <v>4243</v>
      </c>
      <c r="V48">
        <v>5112</v>
      </c>
      <c r="W48">
        <v>1</v>
      </c>
      <c r="X48" t="s">
        <v>145</v>
      </c>
      <c r="Y48">
        <v>218680586</v>
      </c>
      <c r="Z48" t="s">
        <v>758</v>
      </c>
    </row>
    <row r="49" spans="1:27" x14ac:dyDescent="0.2">
      <c r="A49" t="s">
        <v>764</v>
      </c>
      <c r="B49" t="s">
        <v>146</v>
      </c>
      <c r="C49" t="s">
        <v>729</v>
      </c>
      <c r="D49">
        <v>2</v>
      </c>
      <c r="E49">
        <v>219279097</v>
      </c>
      <c r="F49" s="3">
        <v>6.9999999999999999E-6</v>
      </c>
      <c r="G49" t="s">
        <v>141</v>
      </c>
      <c r="H49">
        <v>0.42</v>
      </c>
      <c r="I49" s="7">
        <v>1.1499999999999999</v>
      </c>
      <c r="J49" t="s">
        <v>16</v>
      </c>
      <c r="K49" s="7">
        <v>0.13976194237515863</v>
      </c>
      <c r="L49" t="s">
        <v>147</v>
      </c>
      <c r="M49" t="s">
        <v>148</v>
      </c>
      <c r="N49" t="s">
        <v>19</v>
      </c>
      <c r="O49" t="s">
        <v>20</v>
      </c>
      <c r="P49" t="s">
        <v>144</v>
      </c>
      <c r="Q49">
        <v>22959728</v>
      </c>
      <c r="R49" t="s">
        <v>775</v>
      </c>
      <c r="S49">
        <v>5.133</v>
      </c>
      <c r="T49">
        <v>9355</v>
      </c>
      <c r="U49">
        <v>4243</v>
      </c>
      <c r="V49">
        <v>5112</v>
      </c>
      <c r="W49">
        <v>1</v>
      </c>
      <c r="X49" t="s">
        <v>145</v>
      </c>
      <c r="Y49">
        <v>218414374</v>
      </c>
      <c r="Z49" t="s">
        <v>758</v>
      </c>
    </row>
    <row r="50" spans="1:27" x14ac:dyDescent="0.2">
      <c r="A50" t="s">
        <v>764</v>
      </c>
      <c r="B50" t="s">
        <v>149</v>
      </c>
      <c r="D50">
        <v>3</v>
      </c>
      <c r="E50">
        <v>131713566</v>
      </c>
      <c r="F50" s="3">
        <v>6.9999999999999999E-6</v>
      </c>
      <c r="G50" t="s">
        <v>150</v>
      </c>
      <c r="H50">
        <v>0.34</v>
      </c>
      <c r="I50" s="7">
        <v>1.1904999999999999</v>
      </c>
      <c r="J50" t="s">
        <v>16</v>
      </c>
      <c r="K50" s="7">
        <v>0.17437338694478033</v>
      </c>
      <c r="L50" t="s">
        <v>151</v>
      </c>
      <c r="M50" t="s">
        <v>152</v>
      </c>
      <c r="N50" t="s">
        <v>19</v>
      </c>
      <c r="O50" t="s">
        <v>20</v>
      </c>
      <c r="P50" t="s">
        <v>144</v>
      </c>
      <c r="Q50">
        <v>22959728</v>
      </c>
      <c r="R50" t="s">
        <v>775</v>
      </c>
      <c r="S50">
        <v>5.133</v>
      </c>
      <c r="T50">
        <v>9355</v>
      </c>
      <c r="U50">
        <v>4243</v>
      </c>
      <c r="V50">
        <v>5112</v>
      </c>
      <c r="W50">
        <v>2</v>
      </c>
      <c r="X50" t="s">
        <v>145</v>
      </c>
      <c r="Y50">
        <v>131994722</v>
      </c>
      <c r="Z50" t="s">
        <v>758</v>
      </c>
    </row>
    <row r="51" spans="1:27" x14ac:dyDescent="0.2">
      <c r="A51" t="s">
        <v>764</v>
      </c>
      <c r="B51" t="s">
        <v>153</v>
      </c>
      <c r="D51">
        <v>4</v>
      </c>
      <c r="E51">
        <v>190123318</v>
      </c>
      <c r="F51" s="3">
        <v>9.0000000000000002E-6</v>
      </c>
      <c r="G51" t="s">
        <v>141</v>
      </c>
      <c r="H51">
        <v>0.11</v>
      </c>
      <c r="I51" s="8">
        <v>0.81</v>
      </c>
      <c r="J51" t="s">
        <v>16</v>
      </c>
      <c r="K51" s="7">
        <v>-0.21072103131565253</v>
      </c>
      <c r="L51" t="s">
        <v>154</v>
      </c>
      <c r="M51" t="s">
        <v>16</v>
      </c>
      <c r="N51" t="s">
        <v>19</v>
      </c>
      <c r="O51" t="s">
        <v>20</v>
      </c>
      <c r="P51" t="s">
        <v>144</v>
      </c>
      <c r="Q51">
        <v>22959728</v>
      </c>
      <c r="R51" t="s">
        <v>775</v>
      </c>
      <c r="S51">
        <v>5.133</v>
      </c>
      <c r="T51">
        <v>9355</v>
      </c>
      <c r="U51">
        <v>4243</v>
      </c>
      <c r="V51">
        <v>5112</v>
      </c>
      <c r="W51">
        <v>1</v>
      </c>
      <c r="X51" t="s">
        <v>145</v>
      </c>
      <c r="Y51">
        <v>189202164</v>
      </c>
      <c r="Z51" t="s">
        <v>758</v>
      </c>
    </row>
    <row r="52" spans="1:27" x14ac:dyDescent="0.2">
      <c r="A52" t="s">
        <v>764</v>
      </c>
      <c r="B52" t="s">
        <v>155</v>
      </c>
      <c r="D52">
        <v>6</v>
      </c>
      <c r="E52">
        <v>93369655</v>
      </c>
      <c r="F52" s="3">
        <v>6.9999999999999999E-6</v>
      </c>
      <c r="G52" t="s">
        <v>141</v>
      </c>
      <c r="H52">
        <v>0.45</v>
      </c>
      <c r="I52" s="8">
        <v>0.87</v>
      </c>
      <c r="J52" t="s">
        <v>16</v>
      </c>
      <c r="K52" s="7">
        <v>-0.13926206733350766</v>
      </c>
      <c r="L52" t="s">
        <v>156</v>
      </c>
      <c r="M52" t="s">
        <v>157</v>
      </c>
      <c r="N52" t="s">
        <v>19</v>
      </c>
      <c r="O52" t="s">
        <v>20</v>
      </c>
      <c r="P52" t="s">
        <v>144</v>
      </c>
      <c r="Q52">
        <v>22959728</v>
      </c>
      <c r="R52" t="s">
        <v>775</v>
      </c>
      <c r="S52">
        <v>5.133</v>
      </c>
      <c r="T52">
        <v>9355</v>
      </c>
      <c r="U52">
        <v>4243</v>
      </c>
      <c r="V52">
        <v>5112</v>
      </c>
      <c r="W52">
        <v>1</v>
      </c>
      <c r="X52" t="s">
        <v>145</v>
      </c>
      <c r="Y52">
        <v>92659937</v>
      </c>
      <c r="Z52" t="s">
        <v>758</v>
      </c>
    </row>
    <row r="53" spans="1:27" x14ac:dyDescent="0.2">
      <c r="A53" t="s">
        <v>764</v>
      </c>
      <c r="B53" t="s">
        <v>158</v>
      </c>
      <c r="C53" t="s">
        <v>732</v>
      </c>
      <c r="D53">
        <v>8</v>
      </c>
      <c r="E53">
        <v>143121671</v>
      </c>
      <c r="F53" s="3">
        <v>1.9999999999999999E-6</v>
      </c>
      <c r="G53" t="s">
        <v>150</v>
      </c>
      <c r="H53">
        <v>0.46</v>
      </c>
      <c r="I53" s="7">
        <v>1.27</v>
      </c>
      <c r="J53" t="s">
        <v>16</v>
      </c>
      <c r="K53" s="7">
        <v>0.23901690047049992</v>
      </c>
      <c r="L53" t="s">
        <v>159</v>
      </c>
      <c r="M53" t="s">
        <v>16</v>
      </c>
      <c r="N53" t="s">
        <v>19</v>
      </c>
      <c r="O53" t="s">
        <v>20</v>
      </c>
      <c r="P53" t="s">
        <v>144</v>
      </c>
      <c r="Q53">
        <v>22959728</v>
      </c>
      <c r="R53" t="s">
        <v>775</v>
      </c>
      <c r="S53">
        <v>5.133</v>
      </c>
      <c r="T53">
        <v>9355</v>
      </c>
      <c r="U53">
        <v>4243</v>
      </c>
      <c r="V53">
        <v>5112</v>
      </c>
      <c r="W53">
        <v>1</v>
      </c>
      <c r="X53" t="s">
        <v>145</v>
      </c>
      <c r="Y53">
        <v>142040310</v>
      </c>
      <c r="Z53" t="s">
        <v>758</v>
      </c>
    </row>
    <row r="54" spans="1:27" x14ac:dyDescent="0.2">
      <c r="A54" t="s">
        <v>764</v>
      </c>
      <c r="B54" t="s">
        <v>39</v>
      </c>
      <c r="C54" t="s">
        <v>729</v>
      </c>
      <c r="D54">
        <v>9</v>
      </c>
      <c r="E54">
        <v>27543281</v>
      </c>
      <c r="F54" s="3">
        <v>3.9999999999999998E-7</v>
      </c>
      <c r="G54" t="s">
        <v>150</v>
      </c>
      <c r="H54">
        <v>0.23</v>
      </c>
      <c r="I54" s="7">
        <v>1.21</v>
      </c>
      <c r="J54" t="s">
        <v>16</v>
      </c>
      <c r="K54" s="7">
        <v>0.1906203596086497</v>
      </c>
      <c r="L54" t="s">
        <v>160</v>
      </c>
      <c r="M54" t="s">
        <v>34</v>
      </c>
      <c r="N54" t="s">
        <v>19</v>
      </c>
      <c r="O54" t="s">
        <v>20</v>
      </c>
      <c r="P54" t="s">
        <v>144</v>
      </c>
      <c r="Q54">
        <v>22959728</v>
      </c>
      <c r="R54" t="s">
        <v>775</v>
      </c>
      <c r="S54">
        <v>5.133</v>
      </c>
      <c r="T54">
        <v>9355</v>
      </c>
      <c r="U54">
        <v>4243</v>
      </c>
      <c r="V54">
        <v>5112</v>
      </c>
      <c r="W54">
        <v>7</v>
      </c>
      <c r="X54" t="s">
        <v>145</v>
      </c>
      <c r="Y54">
        <v>27543283</v>
      </c>
      <c r="Z54" t="s">
        <v>758</v>
      </c>
    </row>
    <row r="55" spans="1:27" x14ac:dyDescent="0.2">
      <c r="A55" t="s">
        <v>764</v>
      </c>
      <c r="B55" t="s">
        <v>161</v>
      </c>
      <c r="D55">
        <v>11</v>
      </c>
      <c r="E55">
        <v>127081591</v>
      </c>
      <c r="F55" s="3">
        <v>5.0000000000000004E-6</v>
      </c>
      <c r="G55" t="s">
        <v>150</v>
      </c>
      <c r="H55">
        <v>0.43</v>
      </c>
      <c r="I55" s="8">
        <v>0.88</v>
      </c>
      <c r="J55" t="s">
        <v>16</v>
      </c>
      <c r="K55" s="7">
        <v>-0.12783337150988489</v>
      </c>
      <c r="L55" t="s">
        <v>162</v>
      </c>
      <c r="M55" t="s">
        <v>163</v>
      </c>
      <c r="N55" t="s">
        <v>19</v>
      </c>
      <c r="O55" t="s">
        <v>20</v>
      </c>
      <c r="P55" t="s">
        <v>144</v>
      </c>
      <c r="Q55">
        <v>22959728</v>
      </c>
      <c r="R55" t="s">
        <v>775</v>
      </c>
      <c r="S55">
        <v>5.133</v>
      </c>
      <c r="T55">
        <v>9355</v>
      </c>
      <c r="U55">
        <v>4243</v>
      </c>
      <c r="V55">
        <v>5112</v>
      </c>
      <c r="W55">
        <v>1</v>
      </c>
      <c r="X55" t="s">
        <v>145</v>
      </c>
      <c r="Y55">
        <v>127211696</v>
      </c>
      <c r="Z55" t="s">
        <v>758</v>
      </c>
    </row>
    <row r="56" spans="1:27" x14ac:dyDescent="0.2">
      <c r="A56" t="s">
        <v>764</v>
      </c>
      <c r="B56" t="s">
        <v>164</v>
      </c>
      <c r="D56">
        <v>17</v>
      </c>
      <c r="E56">
        <v>26601133</v>
      </c>
      <c r="F56" s="3">
        <v>8.9999999999999996E-7</v>
      </c>
      <c r="G56" t="s">
        <v>141</v>
      </c>
      <c r="H56">
        <v>0.25</v>
      </c>
      <c r="I56" s="8">
        <v>0.79</v>
      </c>
      <c r="J56" t="s">
        <v>16</v>
      </c>
      <c r="K56" s="7">
        <v>-0.23572233352106983</v>
      </c>
      <c r="L56" t="s">
        <v>165</v>
      </c>
      <c r="M56" t="s">
        <v>166</v>
      </c>
      <c r="N56" t="s">
        <v>19</v>
      </c>
      <c r="O56" t="s">
        <v>20</v>
      </c>
      <c r="P56" t="s">
        <v>144</v>
      </c>
      <c r="Q56">
        <v>22959728</v>
      </c>
      <c r="R56" t="s">
        <v>775</v>
      </c>
      <c r="S56">
        <v>5.133</v>
      </c>
      <c r="T56">
        <v>9355</v>
      </c>
      <c r="U56">
        <v>4243</v>
      </c>
      <c r="V56">
        <v>5112</v>
      </c>
      <c r="W56">
        <v>1</v>
      </c>
      <c r="X56" t="s">
        <v>145</v>
      </c>
      <c r="Y56">
        <v>28274107</v>
      </c>
      <c r="Z56" t="s">
        <v>758</v>
      </c>
    </row>
    <row r="57" spans="1:27" x14ac:dyDescent="0.2">
      <c r="A57" t="s">
        <v>764</v>
      </c>
      <c r="B57" t="s">
        <v>167</v>
      </c>
      <c r="C57" t="s">
        <v>729</v>
      </c>
      <c r="D57">
        <v>18</v>
      </c>
      <c r="E57">
        <v>21365853</v>
      </c>
      <c r="F57" s="3">
        <v>6.9999999999999997E-7</v>
      </c>
      <c r="G57" t="s">
        <v>150</v>
      </c>
      <c r="H57">
        <v>0.36</v>
      </c>
      <c r="I57" s="7">
        <v>1.1599999999999999</v>
      </c>
      <c r="J57" t="s">
        <v>16</v>
      </c>
      <c r="K57" s="7">
        <v>0.14842000511827322</v>
      </c>
      <c r="L57" t="s">
        <v>168</v>
      </c>
      <c r="M57" t="s">
        <v>169</v>
      </c>
      <c r="N57" t="s">
        <v>19</v>
      </c>
      <c r="O57" t="s">
        <v>20</v>
      </c>
      <c r="P57" t="s">
        <v>144</v>
      </c>
      <c r="Q57">
        <v>22959728</v>
      </c>
      <c r="R57" t="s">
        <v>775</v>
      </c>
      <c r="S57">
        <v>5.133</v>
      </c>
      <c r="T57">
        <v>9355</v>
      </c>
      <c r="U57">
        <v>4243</v>
      </c>
      <c r="V57">
        <v>5112</v>
      </c>
      <c r="W57">
        <v>1</v>
      </c>
      <c r="X57" t="s">
        <v>145</v>
      </c>
      <c r="Y57">
        <v>23785889</v>
      </c>
      <c r="Z57" t="s">
        <v>758</v>
      </c>
    </row>
    <row r="58" spans="1:27" x14ac:dyDescent="0.2">
      <c r="A58" t="s">
        <v>764</v>
      </c>
      <c r="B58" t="s">
        <v>35</v>
      </c>
      <c r="C58" t="s">
        <v>731</v>
      </c>
      <c r="D58">
        <v>19</v>
      </c>
      <c r="E58">
        <v>17752689</v>
      </c>
      <c r="F58" s="3">
        <v>4.9999999999999998E-8</v>
      </c>
      <c r="G58" t="s">
        <v>141</v>
      </c>
      <c r="H58">
        <v>0.34</v>
      </c>
      <c r="I58" s="7">
        <v>1.37</v>
      </c>
      <c r="J58" t="s">
        <v>16</v>
      </c>
      <c r="K58" s="7">
        <v>0.3148107398400336</v>
      </c>
      <c r="L58" t="s">
        <v>170</v>
      </c>
      <c r="M58" t="s">
        <v>36</v>
      </c>
      <c r="N58" t="s">
        <v>19</v>
      </c>
      <c r="O58" t="s">
        <v>20</v>
      </c>
      <c r="P58" t="s">
        <v>144</v>
      </c>
      <c r="Q58">
        <v>22959728</v>
      </c>
      <c r="R58" t="s">
        <v>775</v>
      </c>
      <c r="S58">
        <v>5.133</v>
      </c>
      <c r="T58">
        <v>9355</v>
      </c>
      <c r="U58">
        <v>4243</v>
      </c>
      <c r="V58">
        <v>5112</v>
      </c>
      <c r="W58">
        <v>9</v>
      </c>
      <c r="X58" t="s">
        <v>145</v>
      </c>
      <c r="Y58">
        <v>17641880</v>
      </c>
      <c r="Z58" t="s">
        <v>758</v>
      </c>
      <c r="AA58" t="s">
        <v>737</v>
      </c>
    </row>
    <row r="59" spans="1:27" x14ac:dyDescent="0.2">
      <c r="A59" t="s">
        <v>764</v>
      </c>
      <c r="B59" t="s">
        <v>171</v>
      </c>
      <c r="D59">
        <v>1</v>
      </c>
      <c r="E59">
        <v>177756504</v>
      </c>
      <c r="F59" s="3">
        <v>1.9999999999999999E-6</v>
      </c>
      <c r="G59" t="s">
        <v>791</v>
      </c>
      <c r="H59">
        <v>0.47</v>
      </c>
      <c r="I59" s="8">
        <v>0.8</v>
      </c>
      <c r="J59" t="s">
        <v>16</v>
      </c>
      <c r="K59" s="7">
        <v>-0.22314355131420971</v>
      </c>
      <c r="L59" t="s">
        <v>172</v>
      </c>
      <c r="M59" t="s">
        <v>173</v>
      </c>
      <c r="N59" t="s">
        <v>174</v>
      </c>
      <c r="O59" t="s">
        <v>20</v>
      </c>
      <c r="P59" t="s">
        <v>175</v>
      </c>
      <c r="Q59">
        <v>22959728</v>
      </c>
      <c r="R59" t="s">
        <v>775</v>
      </c>
      <c r="S59">
        <v>5.133</v>
      </c>
      <c r="T59">
        <v>4243</v>
      </c>
      <c r="U59">
        <v>4243</v>
      </c>
      <c r="W59">
        <v>1</v>
      </c>
      <c r="X59" t="s">
        <v>145</v>
      </c>
      <c r="Y59">
        <v>177787369</v>
      </c>
      <c r="Z59" t="s">
        <v>758</v>
      </c>
    </row>
    <row r="60" spans="1:27" x14ac:dyDescent="0.2">
      <c r="A60" t="s">
        <v>764</v>
      </c>
      <c r="B60" t="s">
        <v>176</v>
      </c>
      <c r="D60">
        <v>5</v>
      </c>
      <c r="E60">
        <v>137797380</v>
      </c>
      <c r="F60" s="3">
        <v>1.9999999999999999E-6</v>
      </c>
      <c r="G60" t="s">
        <v>791</v>
      </c>
      <c r="H60">
        <v>0.47</v>
      </c>
      <c r="I60" s="7">
        <v>1.2</v>
      </c>
      <c r="J60" t="s">
        <v>16</v>
      </c>
      <c r="K60" s="7">
        <v>0.18232155679395459</v>
      </c>
      <c r="L60" t="s">
        <v>177</v>
      </c>
      <c r="M60" t="s">
        <v>178</v>
      </c>
      <c r="N60" t="s">
        <v>174</v>
      </c>
      <c r="O60" t="s">
        <v>20</v>
      </c>
      <c r="P60" t="s">
        <v>175</v>
      </c>
      <c r="Q60">
        <v>22959728</v>
      </c>
      <c r="R60" t="s">
        <v>775</v>
      </c>
      <c r="S60">
        <v>5.133</v>
      </c>
      <c r="T60">
        <v>4243</v>
      </c>
      <c r="U60">
        <v>4243</v>
      </c>
      <c r="W60">
        <v>1</v>
      </c>
      <c r="X60" t="s">
        <v>145</v>
      </c>
      <c r="Y60">
        <v>138461691</v>
      </c>
      <c r="Z60" t="s">
        <v>758</v>
      </c>
    </row>
    <row r="61" spans="1:27" x14ac:dyDescent="0.2">
      <c r="A61" t="s">
        <v>764</v>
      </c>
      <c r="B61" t="s">
        <v>179</v>
      </c>
      <c r="D61">
        <v>12</v>
      </c>
      <c r="E61">
        <v>67928224</v>
      </c>
      <c r="F61" s="3">
        <v>3.0000000000000001E-6</v>
      </c>
      <c r="G61" t="s">
        <v>791</v>
      </c>
      <c r="H61">
        <v>0.34</v>
      </c>
      <c r="I61" s="8">
        <v>0.61</v>
      </c>
      <c r="J61" t="s">
        <v>16</v>
      </c>
      <c r="K61" s="7">
        <v>-0.49429632181478012</v>
      </c>
      <c r="L61" t="s">
        <v>180</v>
      </c>
      <c r="M61" t="s">
        <v>181</v>
      </c>
      <c r="N61" t="s">
        <v>174</v>
      </c>
      <c r="O61" t="s">
        <v>20</v>
      </c>
      <c r="P61" t="s">
        <v>175</v>
      </c>
      <c r="Q61">
        <v>22959728</v>
      </c>
      <c r="R61" t="s">
        <v>775</v>
      </c>
      <c r="S61">
        <v>5.133</v>
      </c>
      <c r="T61">
        <v>4243</v>
      </c>
      <c r="U61">
        <v>4243</v>
      </c>
      <c r="W61">
        <v>1</v>
      </c>
      <c r="X61" t="s">
        <v>145</v>
      </c>
      <c r="Y61">
        <v>67534444</v>
      </c>
      <c r="Z61" t="s">
        <v>758</v>
      </c>
    </row>
    <row r="62" spans="1:27" x14ac:dyDescent="0.2">
      <c r="A62" t="s">
        <v>764</v>
      </c>
      <c r="B62" t="s">
        <v>182</v>
      </c>
      <c r="D62">
        <v>21</v>
      </c>
      <c r="E62">
        <v>45896740</v>
      </c>
      <c r="F62" s="3">
        <v>1.9999999999999999E-7</v>
      </c>
      <c r="H62" s="9">
        <v>0.4</v>
      </c>
      <c r="I62" s="7">
        <v>1.3157894999999999</v>
      </c>
      <c r="J62" t="s">
        <v>16</v>
      </c>
      <c r="K62" s="7">
        <v>0.27443686570176007</v>
      </c>
      <c r="L62" t="s">
        <v>183</v>
      </c>
      <c r="M62" t="s">
        <v>184</v>
      </c>
      <c r="N62" t="s">
        <v>185</v>
      </c>
      <c r="O62" t="s">
        <v>20</v>
      </c>
      <c r="P62" t="s">
        <v>186</v>
      </c>
      <c r="Q62">
        <v>22959728</v>
      </c>
      <c r="R62" t="s">
        <v>775</v>
      </c>
      <c r="S62">
        <v>5.133</v>
      </c>
      <c r="T62">
        <v>9355</v>
      </c>
      <c r="U62">
        <v>4243</v>
      </c>
      <c r="V62">
        <v>5112</v>
      </c>
      <c r="W62">
        <v>1</v>
      </c>
      <c r="X62" t="s">
        <v>145</v>
      </c>
      <c r="Y62">
        <v>44476857</v>
      </c>
      <c r="Z62" t="s">
        <v>758</v>
      </c>
    </row>
    <row r="63" spans="1:27" x14ac:dyDescent="0.2">
      <c r="A63" t="s">
        <v>764</v>
      </c>
      <c r="B63" t="s">
        <v>187</v>
      </c>
      <c r="D63">
        <v>4</v>
      </c>
      <c r="E63">
        <v>13966851</v>
      </c>
      <c r="F63" s="3">
        <v>1.9999999999999999E-6</v>
      </c>
      <c r="H63" s="9">
        <v>0.18</v>
      </c>
      <c r="I63" s="8">
        <v>0.69</v>
      </c>
      <c r="J63" t="s">
        <v>16</v>
      </c>
      <c r="K63" s="7">
        <v>-0.37106368139083207</v>
      </c>
      <c r="L63" t="s">
        <v>188</v>
      </c>
      <c r="M63" t="s">
        <v>189</v>
      </c>
      <c r="N63" t="s">
        <v>185</v>
      </c>
      <c r="O63" t="s">
        <v>20</v>
      </c>
      <c r="P63" t="s">
        <v>186</v>
      </c>
      <c r="Q63">
        <v>22959728</v>
      </c>
      <c r="R63" t="s">
        <v>775</v>
      </c>
      <c r="S63">
        <v>5.133</v>
      </c>
      <c r="T63">
        <v>9355</v>
      </c>
      <c r="U63">
        <v>4243</v>
      </c>
      <c r="V63">
        <v>5112</v>
      </c>
      <c r="W63">
        <v>1</v>
      </c>
      <c r="X63" t="s">
        <v>145</v>
      </c>
      <c r="Y63">
        <v>13965227</v>
      </c>
      <c r="Z63" t="s">
        <v>758</v>
      </c>
    </row>
    <row r="64" spans="1:27" x14ac:dyDescent="0.2">
      <c r="A64" t="s">
        <v>764</v>
      </c>
      <c r="B64" t="s">
        <v>190</v>
      </c>
      <c r="D64">
        <v>7</v>
      </c>
      <c r="E64">
        <v>28455233</v>
      </c>
      <c r="F64" s="3">
        <v>1.9999999999999999E-6</v>
      </c>
      <c r="H64" s="9">
        <v>7.0000000000000007E-2</v>
      </c>
      <c r="I64" s="8">
        <v>0.61</v>
      </c>
      <c r="J64" t="s">
        <v>16</v>
      </c>
      <c r="K64" s="7">
        <v>-0.49429632181478012</v>
      </c>
      <c r="L64" t="s">
        <v>191</v>
      </c>
      <c r="M64" t="s">
        <v>192</v>
      </c>
      <c r="N64" t="s">
        <v>185</v>
      </c>
      <c r="O64" t="s">
        <v>20</v>
      </c>
      <c r="P64" t="s">
        <v>186</v>
      </c>
      <c r="Q64">
        <v>22959728</v>
      </c>
      <c r="R64" t="s">
        <v>775</v>
      </c>
      <c r="S64">
        <v>5.133</v>
      </c>
      <c r="T64">
        <v>9355</v>
      </c>
      <c r="U64">
        <v>4243</v>
      </c>
      <c r="V64">
        <v>5112</v>
      </c>
      <c r="W64">
        <v>1</v>
      </c>
      <c r="X64" t="s">
        <v>145</v>
      </c>
      <c r="Y64">
        <v>28415614</v>
      </c>
      <c r="Z64" t="s">
        <v>758</v>
      </c>
    </row>
    <row r="65" spans="1:27" x14ac:dyDescent="0.2">
      <c r="A65" t="s">
        <v>764</v>
      </c>
      <c r="B65" t="s">
        <v>193</v>
      </c>
      <c r="D65">
        <v>4</v>
      </c>
      <c r="E65">
        <v>37915462</v>
      </c>
      <c r="F65" s="3">
        <v>3.0000000000000001E-6</v>
      </c>
      <c r="H65" s="9">
        <v>0.18</v>
      </c>
      <c r="I65" s="7">
        <v>1.41</v>
      </c>
      <c r="J65" t="s">
        <v>16</v>
      </c>
      <c r="K65" s="7">
        <v>0.34358970439007686</v>
      </c>
      <c r="L65" t="s">
        <v>194</v>
      </c>
      <c r="M65" t="s">
        <v>195</v>
      </c>
      <c r="N65" t="s">
        <v>185</v>
      </c>
      <c r="O65" t="s">
        <v>20</v>
      </c>
      <c r="P65" t="s">
        <v>186</v>
      </c>
      <c r="Q65">
        <v>22959728</v>
      </c>
      <c r="R65" t="s">
        <v>775</v>
      </c>
      <c r="S65">
        <v>5.133</v>
      </c>
      <c r="T65">
        <v>9355</v>
      </c>
      <c r="U65">
        <v>4243</v>
      </c>
      <c r="V65">
        <v>5112</v>
      </c>
      <c r="W65">
        <v>1</v>
      </c>
      <c r="X65" t="s">
        <v>145</v>
      </c>
      <c r="Y65">
        <v>37913841</v>
      </c>
      <c r="Z65" t="s">
        <v>758</v>
      </c>
    </row>
    <row r="66" spans="1:27" x14ac:dyDescent="0.2">
      <c r="A66" t="s">
        <v>764</v>
      </c>
      <c r="B66" t="s">
        <v>149</v>
      </c>
      <c r="D66">
        <v>3</v>
      </c>
      <c r="E66">
        <v>131713566</v>
      </c>
      <c r="F66" s="3">
        <v>3.9999999999999998E-7</v>
      </c>
      <c r="H66" s="9">
        <v>0.3</v>
      </c>
      <c r="I66" s="8">
        <v>0.84</v>
      </c>
      <c r="J66" t="s">
        <v>16</v>
      </c>
      <c r="K66" s="7">
        <v>-0.1743533871447778</v>
      </c>
      <c r="L66" t="s">
        <v>196</v>
      </c>
      <c r="M66" t="s">
        <v>152</v>
      </c>
      <c r="N66" t="s">
        <v>197</v>
      </c>
      <c r="O66" t="s">
        <v>20</v>
      </c>
      <c r="P66" t="s">
        <v>198</v>
      </c>
      <c r="Q66">
        <v>22959728</v>
      </c>
      <c r="R66" t="s">
        <v>775</v>
      </c>
      <c r="S66">
        <v>5.133</v>
      </c>
      <c r="T66">
        <v>9355</v>
      </c>
      <c r="U66">
        <v>4243</v>
      </c>
      <c r="V66">
        <v>5112</v>
      </c>
      <c r="W66">
        <v>2</v>
      </c>
      <c r="X66" t="s">
        <v>145</v>
      </c>
      <c r="Y66">
        <v>131994722</v>
      </c>
      <c r="Z66" t="s">
        <v>758</v>
      </c>
    </row>
    <row r="67" spans="1:27" x14ac:dyDescent="0.2">
      <c r="A67" t="s">
        <v>764</v>
      </c>
      <c r="B67" t="s">
        <v>35</v>
      </c>
      <c r="D67">
        <v>19</v>
      </c>
      <c r="E67">
        <v>17752689</v>
      </c>
      <c r="F67" s="3">
        <v>3.9999999999999998E-7</v>
      </c>
      <c r="H67" s="9">
        <v>0.35</v>
      </c>
      <c r="I67" s="7">
        <v>1.21</v>
      </c>
      <c r="J67" t="s">
        <v>16</v>
      </c>
      <c r="K67" s="7">
        <v>0.1906203596086497</v>
      </c>
      <c r="L67" t="s">
        <v>199</v>
      </c>
      <c r="M67" t="s">
        <v>36</v>
      </c>
      <c r="N67" t="s">
        <v>197</v>
      </c>
      <c r="O67" t="s">
        <v>20</v>
      </c>
      <c r="P67" t="s">
        <v>198</v>
      </c>
      <c r="Q67">
        <v>22959728</v>
      </c>
      <c r="R67" t="s">
        <v>775</v>
      </c>
      <c r="S67">
        <v>5.133</v>
      </c>
      <c r="T67">
        <v>9355</v>
      </c>
      <c r="U67">
        <v>4243</v>
      </c>
      <c r="V67">
        <v>5112</v>
      </c>
      <c r="W67">
        <v>9</v>
      </c>
      <c r="X67" t="s">
        <v>145</v>
      </c>
      <c r="Y67">
        <v>17641880</v>
      </c>
      <c r="Z67" t="s">
        <v>758</v>
      </c>
    </row>
    <row r="68" spans="1:27" x14ac:dyDescent="0.2">
      <c r="A68" t="s">
        <v>764</v>
      </c>
      <c r="B68" t="s">
        <v>200</v>
      </c>
      <c r="D68">
        <v>9</v>
      </c>
      <c r="E68">
        <v>81679875</v>
      </c>
      <c r="F68" s="3">
        <v>6.0000000000000002E-6</v>
      </c>
      <c r="H68" s="9">
        <v>0.33</v>
      </c>
      <c r="I68" s="7">
        <v>1.21</v>
      </c>
      <c r="J68" t="s">
        <v>16</v>
      </c>
      <c r="K68" s="7">
        <v>0.1906203596086497</v>
      </c>
      <c r="L68" t="s">
        <v>201</v>
      </c>
      <c r="M68" t="s">
        <v>202</v>
      </c>
      <c r="N68" t="s">
        <v>197</v>
      </c>
      <c r="O68" t="s">
        <v>20</v>
      </c>
      <c r="P68" t="s">
        <v>198</v>
      </c>
      <c r="Q68">
        <v>22959728</v>
      </c>
      <c r="R68" t="s">
        <v>775</v>
      </c>
      <c r="S68">
        <v>5.133</v>
      </c>
      <c r="T68">
        <v>9355</v>
      </c>
      <c r="U68">
        <v>4243</v>
      </c>
      <c r="V68">
        <v>5112</v>
      </c>
      <c r="W68">
        <v>1</v>
      </c>
      <c r="X68" t="s">
        <v>145</v>
      </c>
      <c r="Y68">
        <v>79064959</v>
      </c>
      <c r="Z68" t="s">
        <v>758</v>
      </c>
    </row>
    <row r="69" spans="1:27" x14ac:dyDescent="0.2">
      <c r="A69" t="s">
        <v>764</v>
      </c>
      <c r="B69" t="s">
        <v>203</v>
      </c>
      <c r="D69">
        <v>2</v>
      </c>
      <c r="E69">
        <v>239499335</v>
      </c>
      <c r="F69" s="3">
        <v>6.9999999999999999E-6</v>
      </c>
      <c r="H69" s="9">
        <v>0.2</v>
      </c>
      <c r="I69" s="7">
        <v>1.3</v>
      </c>
      <c r="J69" t="s">
        <v>16</v>
      </c>
      <c r="K69" s="7">
        <v>0.26236426446749106</v>
      </c>
      <c r="L69" t="s">
        <v>204</v>
      </c>
      <c r="M69" t="s">
        <v>205</v>
      </c>
      <c r="N69" t="s">
        <v>197</v>
      </c>
      <c r="O69" t="s">
        <v>20</v>
      </c>
      <c r="P69" t="s">
        <v>198</v>
      </c>
      <c r="Q69">
        <v>22959728</v>
      </c>
      <c r="R69" t="s">
        <v>775</v>
      </c>
      <c r="S69">
        <v>5.133</v>
      </c>
      <c r="T69">
        <v>9355</v>
      </c>
      <c r="U69">
        <v>4243</v>
      </c>
      <c r="V69">
        <v>5112</v>
      </c>
      <c r="W69">
        <v>1</v>
      </c>
      <c r="X69" t="s">
        <v>145</v>
      </c>
      <c r="Y69">
        <v>238590694</v>
      </c>
      <c r="Z69" t="s">
        <v>758</v>
      </c>
    </row>
    <row r="70" spans="1:27" x14ac:dyDescent="0.2">
      <c r="A70" t="s">
        <v>764</v>
      </c>
      <c r="B70" t="s">
        <v>206</v>
      </c>
      <c r="D70">
        <v>10</v>
      </c>
      <c r="E70">
        <v>133754334</v>
      </c>
      <c r="F70" s="3">
        <v>9.0000000000000002E-6</v>
      </c>
      <c r="H70">
        <v>0.24</v>
      </c>
      <c r="I70" s="7">
        <v>1.2</v>
      </c>
      <c r="J70" t="s">
        <v>16</v>
      </c>
      <c r="K70" s="7">
        <v>0.18232155679395459</v>
      </c>
      <c r="L70" t="s">
        <v>201</v>
      </c>
      <c r="M70" t="s">
        <v>207</v>
      </c>
      <c r="N70" t="s">
        <v>197</v>
      </c>
      <c r="O70" t="s">
        <v>20</v>
      </c>
      <c r="P70" t="s">
        <v>198</v>
      </c>
      <c r="Q70">
        <v>22959728</v>
      </c>
      <c r="R70" t="s">
        <v>775</v>
      </c>
      <c r="S70">
        <v>5.133</v>
      </c>
      <c r="T70">
        <v>9355</v>
      </c>
      <c r="U70">
        <v>4243</v>
      </c>
      <c r="V70">
        <v>5112</v>
      </c>
      <c r="W70">
        <v>1</v>
      </c>
      <c r="X70" t="s">
        <v>145</v>
      </c>
      <c r="Y70">
        <v>131940830</v>
      </c>
      <c r="Z70" t="s">
        <v>758</v>
      </c>
    </row>
    <row r="71" spans="1:27" x14ac:dyDescent="0.2">
      <c r="A71" t="s">
        <v>764</v>
      </c>
      <c r="B71" t="s">
        <v>208</v>
      </c>
      <c r="D71">
        <v>3</v>
      </c>
      <c r="E71">
        <v>131607539</v>
      </c>
      <c r="F71" s="3">
        <v>9.0000000000000002E-6</v>
      </c>
      <c r="H71" s="9">
        <v>0.36</v>
      </c>
      <c r="I71" s="8">
        <v>0.9</v>
      </c>
      <c r="J71" t="s">
        <v>16</v>
      </c>
      <c r="K71" s="7">
        <v>-0.10536051565782628</v>
      </c>
      <c r="L71" t="s">
        <v>209</v>
      </c>
      <c r="M71" t="s">
        <v>152</v>
      </c>
      <c r="N71" t="s">
        <v>197</v>
      </c>
      <c r="O71" t="s">
        <v>20</v>
      </c>
      <c r="P71" t="s">
        <v>198</v>
      </c>
      <c r="Q71">
        <v>22959728</v>
      </c>
      <c r="R71" t="s">
        <v>775</v>
      </c>
      <c r="S71">
        <v>5.133</v>
      </c>
      <c r="T71">
        <v>9355</v>
      </c>
      <c r="U71">
        <v>4243</v>
      </c>
      <c r="V71">
        <v>5112</v>
      </c>
      <c r="W71">
        <v>1</v>
      </c>
      <c r="X71" t="s">
        <v>145</v>
      </c>
      <c r="Y71">
        <v>131888695</v>
      </c>
      <c r="Z71" t="s">
        <v>758</v>
      </c>
    </row>
    <row r="72" spans="1:27" x14ac:dyDescent="0.2">
      <c r="A72" t="s">
        <v>764</v>
      </c>
      <c r="B72" t="s">
        <v>210</v>
      </c>
      <c r="C72" t="s">
        <v>729</v>
      </c>
      <c r="D72">
        <v>13</v>
      </c>
      <c r="E72">
        <v>44808174</v>
      </c>
      <c r="F72" s="3">
        <v>3.9999999999999998E-6</v>
      </c>
      <c r="G72" t="s">
        <v>150</v>
      </c>
      <c r="H72">
        <v>0.36</v>
      </c>
      <c r="I72" s="7">
        <v>1.17</v>
      </c>
      <c r="J72" t="s">
        <v>16</v>
      </c>
      <c r="K72" s="7">
        <v>0.15700374880966469</v>
      </c>
      <c r="L72" t="s">
        <v>168</v>
      </c>
      <c r="M72" t="s">
        <v>211</v>
      </c>
      <c r="N72" t="s">
        <v>19</v>
      </c>
      <c r="O72" t="s">
        <v>20</v>
      </c>
      <c r="P72" t="s">
        <v>144</v>
      </c>
      <c r="Q72">
        <v>22959728</v>
      </c>
      <c r="R72" t="s">
        <v>775</v>
      </c>
      <c r="S72">
        <v>5.133</v>
      </c>
      <c r="T72">
        <v>9355</v>
      </c>
      <c r="U72">
        <v>4243</v>
      </c>
      <c r="V72">
        <v>5112</v>
      </c>
      <c r="W72">
        <v>1</v>
      </c>
      <c r="X72" t="s">
        <v>145</v>
      </c>
      <c r="Y72">
        <v>44234038</v>
      </c>
      <c r="Z72" t="s">
        <v>758</v>
      </c>
    </row>
    <row r="73" spans="1:27" x14ac:dyDescent="0.2">
      <c r="A73" t="s">
        <v>764</v>
      </c>
      <c r="B73" t="s">
        <v>212</v>
      </c>
      <c r="C73" t="s">
        <v>730</v>
      </c>
      <c r="D73">
        <v>15</v>
      </c>
      <c r="E73">
        <v>70576138</v>
      </c>
      <c r="F73" s="3">
        <v>9.9999999999999995E-7</v>
      </c>
      <c r="G73" t="s">
        <v>150</v>
      </c>
      <c r="H73">
        <v>0.47</v>
      </c>
      <c r="I73" s="7">
        <v>1.26</v>
      </c>
      <c r="J73" t="s">
        <v>16</v>
      </c>
      <c r="K73" s="7">
        <v>0.23111172096338664</v>
      </c>
      <c r="L73" t="s">
        <v>213</v>
      </c>
      <c r="M73" t="s">
        <v>214</v>
      </c>
      <c r="N73" t="s">
        <v>19</v>
      </c>
      <c r="O73" t="s">
        <v>20</v>
      </c>
      <c r="P73" t="s">
        <v>144</v>
      </c>
      <c r="Q73">
        <v>22959728</v>
      </c>
      <c r="R73" t="s">
        <v>775</v>
      </c>
      <c r="S73">
        <v>5.133</v>
      </c>
      <c r="T73">
        <v>9355</v>
      </c>
      <c r="U73">
        <v>4243</v>
      </c>
      <c r="V73">
        <v>5112</v>
      </c>
      <c r="W73">
        <v>1</v>
      </c>
      <c r="X73" t="s">
        <v>145</v>
      </c>
      <c r="Y73">
        <v>70283799</v>
      </c>
      <c r="Z73" t="s">
        <v>758</v>
      </c>
    </row>
    <row r="74" spans="1:27" x14ac:dyDescent="0.2">
      <c r="A74" t="s">
        <v>764</v>
      </c>
      <c r="B74" t="s">
        <v>215</v>
      </c>
      <c r="C74" t="s">
        <v>731</v>
      </c>
      <c r="D74">
        <v>16</v>
      </c>
      <c r="E74">
        <v>85092748</v>
      </c>
      <c r="F74" s="3">
        <v>4.9999999999999998E-7</v>
      </c>
      <c r="G74" t="s">
        <v>150</v>
      </c>
      <c r="H74">
        <v>0.11</v>
      </c>
      <c r="I74" s="7">
        <v>1.27</v>
      </c>
      <c r="J74" t="s">
        <v>16</v>
      </c>
      <c r="K74" s="7">
        <v>0.23901690047049992</v>
      </c>
      <c r="L74" t="s">
        <v>216</v>
      </c>
      <c r="M74" t="s">
        <v>217</v>
      </c>
      <c r="N74" t="s">
        <v>19</v>
      </c>
      <c r="O74" t="s">
        <v>20</v>
      </c>
      <c r="P74" t="s">
        <v>144</v>
      </c>
      <c r="Q74">
        <v>22959728</v>
      </c>
      <c r="R74" t="s">
        <v>775</v>
      </c>
      <c r="S74">
        <v>5.133</v>
      </c>
      <c r="T74">
        <v>9355</v>
      </c>
      <c r="U74">
        <v>4243</v>
      </c>
      <c r="V74">
        <v>5112</v>
      </c>
      <c r="W74">
        <v>1</v>
      </c>
      <c r="X74" t="s">
        <v>145</v>
      </c>
      <c r="Y74">
        <v>85059142</v>
      </c>
      <c r="Z74" t="s">
        <v>758</v>
      </c>
    </row>
    <row r="75" spans="1:27" x14ac:dyDescent="0.2">
      <c r="A75" t="s">
        <v>764</v>
      </c>
      <c r="B75" t="s">
        <v>218</v>
      </c>
      <c r="C75" t="s">
        <v>732</v>
      </c>
      <c r="D75">
        <v>17</v>
      </c>
      <c r="E75">
        <v>16246016</v>
      </c>
      <c r="F75" s="3">
        <v>2.9999999999999999E-7</v>
      </c>
      <c r="G75" t="s">
        <v>150</v>
      </c>
      <c r="H75">
        <v>0.48</v>
      </c>
      <c r="I75" s="7">
        <v>1.3</v>
      </c>
      <c r="J75" t="s">
        <v>16</v>
      </c>
      <c r="K75" s="7">
        <v>0.26236426446749106</v>
      </c>
      <c r="L75" t="s">
        <v>219</v>
      </c>
      <c r="M75" t="s">
        <v>220</v>
      </c>
      <c r="N75" t="s">
        <v>19</v>
      </c>
      <c r="O75" t="s">
        <v>20</v>
      </c>
      <c r="P75" t="s">
        <v>144</v>
      </c>
      <c r="Q75">
        <v>22959728</v>
      </c>
      <c r="R75" t="s">
        <v>775</v>
      </c>
      <c r="S75">
        <v>5.133</v>
      </c>
      <c r="T75">
        <v>9355</v>
      </c>
      <c r="U75">
        <v>4243</v>
      </c>
      <c r="V75">
        <v>5112</v>
      </c>
      <c r="W75">
        <v>2</v>
      </c>
      <c r="X75" t="s">
        <v>145</v>
      </c>
      <c r="Y75">
        <v>16342702</v>
      </c>
      <c r="Z75" t="s">
        <v>758</v>
      </c>
    </row>
    <row r="76" spans="1:27" x14ac:dyDescent="0.2">
      <c r="A76" t="s">
        <v>764</v>
      </c>
      <c r="B76" t="s">
        <v>221</v>
      </c>
      <c r="D76">
        <v>11</v>
      </c>
      <c r="E76">
        <v>97682564</v>
      </c>
      <c r="F76" s="3">
        <v>3.0000000000000001E-6</v>
      </c>
      <c r="H76">
        <v>0.66</v>
      </c>
      <c r="I76" s="7">
        <v>1.19</v>
      </c>
      <c r="J76" t="s">
        <v>16</v>
      </c>
      <c r="K76" s="7">
        <v>0.17395330712343798</v>
      </c>
      <c r="L76" t="s">
        <v>31</v>
      </c>
      <c r="M76" t="s">
        <v>222</v>
      </c>
      <c r="N76" t="s">
        <v>19</v>
      </c>
      <c r="O76" t="s">
        <v>20</v>
      </c>
      <c r="P76" t="s">
        <v>223</v>
      </c>
      <c r="Q76">
        <v>19734901</v>
      </c>
      <c r="R76" t="s">
        <v>772</v>
      </c>
      <c r="S76">
        <v>41.38</v>
      </c>
      <c r="T76">
        <v>11336</v>
      </c>
      <c r="U76">
        <v>2323</v>
      </c>
      <c r="V76">
        <v>9013</v>
      </c>
      <c r="W76">
        <v>1</v>
      </c>
      <c r="X76" t="s">
        <v>224</v>
      </c>
      <c r="Y76">
        <v>97811564</v>
      </c>
      <c r="Z76" t="s">
        <v>758</v>
      </c>
    </row>
    <row r="77" spans="1:27" x14ac:dyDescent="0.2">
      <c r="A77" t="s">
        <v>764</v>
      </c>
      <c r="B77" t="s">
        <v>39</v>
      </c>
      <c r="D77">
        <v>9</v>
      </c>
      <c r="E77">
        <v>27543281</v>
      </c>
      <c r="F77" s="3">
        <v>1E-8</v>
      </c>
      <c r="H77">
        <v>0.23</v>
      </c>
      <c r="I77" s="7">
        <v>1.23</v>
      </c>
      <c r="J77" t="s">
        <v>16</v>
      </c>
      <c r="K77" s="7">
        <v>0.20701416938432612</v>
      </c>
      <c r="L77" t="s">
        <v>31</v>
      </c>
      <c r="M77" t="s">
        <v>34</v>
      </c>
      <c r="N77" t="s">
        <v>19</v>
      </c>
      <c r="O77" t="s">
        <v>20</v>
      </c>
      <c r="P77" t="s">
        <v>223</v>
      </c>
      <c r="Q77">
        <v>19734901</v>
      </c>
      <c r="R77" t="s">
        <v>772</v>
      </c>
      <c r="S77">
        <v>41.38</v>
      </c>
      <c r="T77">
        <v>11336</v>
      </c>
      <c r="U77">
        <v>2323</v>
      </c>
      <c r="V77">
        <v>9013</v>
      </c>
      <c r="W77">
        <v>7</v>
      </c>
      <c r="X77" t="s">
        <v>224</v>
      </c>
      <c r="Y77">
        <v>27543283</v>
      </c>
      <c r="Z77" t="s">
        <v>758</v>
      </c>
      <c r="AA77" t="s">
        <v>737</v>
      </c>
    </row>
    <row r="78" spans="1:27" x14ac:dyDescent="0.2">
      <c r="A78" t="s">
        <v>764</v>
      </c>
      <c r="B78" t="s">
        <v>225</v>
      </c>
      <c r="D78">
        <v>12</v>
      </c>
      <c r="E78">
        <v>17373739</v>
      </c>
      <c r="F78" s="3">
        <v>1.9999999999999999E-6</v>
      </c>
      <c r="H78">
        <v>0.05</v>
      </c>
      <c r="I78" s="7">
        <v>1.48</v>
      </c>
      <c r="J78" t="s">
        <v>16</v>
      </c>
      <c r="K78" s="7">
        <v>0.39204208777602367</v>
      </c>
      <c r="L78" t="s">
        <v>31</v>
      </c>
      <c r="M78" t="s">
        <v>226</v>
      </c>
      <c r="N78" t="s">
        <v>19</v>
      </c>
      <c r="O78" t="s">
        <v>20</v>
      </c>
      <c r="P78" t="s">
        <v>223</v>
      </c>
      <c r="Q78">
        <v>19734901</v>
      </c>
      <c r="R78" t="s">
        <v>772</v>
      </c>
      <c r="S78">
        <v>41.38</v>
      </c>
      <c r="T78">
        <v>11336</v>
      </c>
      <c r="U78">
        <v>2323</v>
      </c>
      <c r="V78">
        <v>9013</v>
      </c>
      <c r="W78">
        <v>1</v>
      </c>
      <c r="X78" t="s">
        <v>224</v>
      </c>
      <c r="Y78">
        <v>17220805</v>
      </c>
      <c r="Z78" t="s">
        <v>758</v>
      </c>
    </row>
    <row r="79" spans="1:27" x14ac:dyDescent="0.2">
      <c r="A79" t="s">
        <v>764</v>
      </c>
      <c r="B79" t="s">
        <v>227</v>
      </c>
      <c r="D79">
        <v>9</v>
      </c>
      <c r="E79">
        <v>27561049</v>
      </c>
      <c r="F79" s="3">
        <v>3.0000000000000001E-6</v>
      </c>
      <c r="H79">
        <v>0.25</v>
      </c>
      <c r="I79" s="7">
        <v>1.19</v>
      </c>
      <c r="J79" t="s">
        <v>16</v>
      </c>
      <c r="K79" s="7">
        <v>0.17395330712343798</v>
      </c>
      <c r="L79" t="s">
        <v>31</v>
      </c>
      <c r="M79" t="s">
        <v>34</v>
      </c>
      <c r="N79" t="s">
        <v>19</v>
      </c>
      <c r="O79" t="s">
        <v>20</v>
      </c>
      <c r="P79" t="s">
        <v>223</v>
      </c>
      <c r="Q79">
        <v>19734901</v>
      </c>
      <c r="R79" t="s">
        <v>772</v>
      </c>
      <c r="S79">
        <v>41.38</v>
      </c>
      <c r="T79">
        <v>11336</v>
      </c>
      <c r="U79">
        <v>2323</v>
      </c>
      <c r="V79">
        <v>9013</v>
      </c>
      <c r="W79">
        <v>1</v>
      </c>
      <c r="X79" t="s">
        <v>224</v>
      </c>
      <c r="Y79">
        <v>27561051</v>
      </c>
      <c r="Z79" t="s">
        <v>758</v>
      </c>
    </row>
    <row r="80" spans="1:27" x14ac:dyDescent="0.2">
      <c r="A80" t="s">
        <v>764</v>
      </c>
      <c r="B80" t="s">
        <v>228</v>
      </c>
      <c r="D80" t="s">
        <v>767</v>
      </c>
      <c r="E80">
        <v>4596138</v>
      </c>
      <c r="F80" s="3">
        <v>3.0000000000000001E-6</v>
      </c>
      <c r="H80">
        <v>0.27</v>
      </c>
      <c r="I80" s="7">
        <v>1.22</v>
      </c>
      <c r="J80" t="s">
        <v>16</v>
      </c>
      <c r="K80" s="7">
        <v>0.19885085874516517</v>
      </c>
      <c r="L80" t="s">
        <v>31</v>
      </c>
      <c r="M80" t="s">
        <v>16</v>
      </c>
      <c r="N80" t="s">
        <v>19</v>
      </c>
      <c r="O80" t="s">
        <v>20</v>
      </c>
      <c r="P80" t="s">
        <v>223</v>
      </c>
      <c r="Q80">
        <v>19734901</v>
      </c>
      <c r="R80" t="s">
        <v>772</v>
      </c>
      <c r="S80">
        <v>41.38</v>
      </c>
      <c r="T80">
        <v>11336</v>
      </c>
      <c r="U80">
        <v>2323</v>
      </c>
      <c r="V80">
        <v>9013</v>
      </c>
      <c r="W80">
        <v>1</v>
      </c>
      <c r="X80" t="s">
        <v>224</v>
      </c>
      <c r="Y80">
        <v>4678097</v>
      </c>
      <c r="Z80" t="s">
        <v>758</v>
      </c>
    </row>
    <row r="81" spans="1:27" x14ac:dyDescent="0.2">
      <c r="A81" t="s">
        <v>764</v>
      </c>
      <c r="B81" t="s">
        <v>229</v>
      </c>
      <c r="D81" t="s">
        <v>767</v>
      </c>
      <c r="E81">
        <v>75347434</v>
      </c>
      <c r="F81" s="3">
        <v>5.9999999999999997E-7</v>
      </c>
      <c r="H81">
        <v>0.13</v>
      </c>
      <c r="I81" s="7">
        <v>1.38</v>
      </c>
      <c r="J81" t="s">
        <v>16</v>
      </c>
      <c r="K81" s="7">
        <v>0.32208349916911322</v>
      </c>
      <c r="L81" t="s">
        <v>31</v>
      </c>
      <c r="M81" t="s">
        <v>230</v>
      </c>
      <c r="N81" t="s">
        <v>19</v>
      </c>
      <c r="O81" t="s">
        <v>20</v>
      </c>
      <c r="P81" t="s">
        <v>223</v>
      </c>
      <c r="Q81">
        <v>19734901</v>
      </c>
      <c r="R81" t="s">
        <v>772</v>
      </c>
      <c r="S81">
        <v>41.38</v>
      </c>
      <c r="T81">
        <v>11336</v>
      </c>
      <c r="U81">
        <v>2323</v>
      </c>
      <c r="V81">
        <v>9013</v>
      </c>
      <c r="W81">
        <v>1</v>
      </c>
      <c r="X81" t="s">
        <v>224</v>
      </c>
      <c r="Y81">
        <v>76127599</v>
      </c>
      <c r="Z81" t="s">
        <v>758</v>
      </c>
    </row>
    <row r="82" spans="1:27" x14ac:dyDescent="0.2">
      <c r="A82" t="s">
        <v>764</v>
      </c>
      <c r="B82" t="s">
        <v>231</v>
      </c>
      <c r="D82">
        <v>9</v>
      </c>
      <c r="E82">
        <v>27536397</v>
      </c>
      <c r="F82" s="3">
        <v>6.9999999999999998E-9</v>
      </c>
      <c r="H82">
        <v>0.23</v>
      </c>
      <c r="I82" s="7">
        <v>1.22</v>
      </c>
      <c r="J82" t="s">
        <v>16</v>
      </c>
      <c r="K82" s="7">
        <v>0.19885085874516517</v>
      </c>
      <c r="L82" t="s">
        <v>31</v>
      </c>
      <c r="M82" t="s">
        <v>34</v>
      </c>
      <c r="N82" t="s">
        <v>19</v>
      </c>
      <c r="O82" t="s">
        <v>20</v>
      </c>
      <c r="P82" t="s">
        <v>223</v>
      </c>
      <c r="Q82">
        <v>19734901</v>
      </c>
      <c r="R82" t="s">
        <v>772</v>
      </c>
      <c r="S82">
        <v>41.38</v>
      </c>
      <c r="T82">
        <v>11336</v>
      </c>
      <c r="U82">
        <v>2323</v>
      </c>
      <c r="V82">
        <v>9013</v>
      </c>
      <c r="W82">
        <v>1</v>
      </c>
      <c r="X82" t="s">
        <v>224</v>
      </c>
      <c r="Y82">
        <v>27536399</v>
      </c>
      <c r="Z82" t="s">
        <v>758</v>
      </c>
      <c r="AA82" t="s">
        <v>737</v>
      </c>
    </row>
    <row r="83" spans="1:27" x14ac:dyDescent="0.2">
      <c r="A83" t="s">
        <v>764</v>
      </c>
      <c r="B83" t="s">
        <v>35</v>
      </c>
      <c r="D83">
        <v>19</v>
      </c>
      <c r="E83">
        <v>17752689</v>
      </c>
      <c r="F83" s="3">
        <v>2.9999999999999998E-14</v>
      </c>
      <c r="H83">
        <v>0.34</v>
      </c>
      <c r="I83" s="7">
        <v>1.25</v>
      </c>
      <c r="J83" t="s">
        <v>16</v>
      </c>
      <c r="K83" s="7">
        <v>0.22314355131420976</v>
      </c>
      <c r="L83" t="s">
        <v>31</v>
      </c>
      <c r="M83" t="s">
        <v>36</v>
      </c>
      <c r="N83" t="s">
        <v>19</v>
      </c>
      <c r="O83" t="s">
        <v>20</v>
      </c>
      <c r="P83" t="s">
        <v>223</v>
      </c>
      <c r="Q83">
        <v>19734901</v>
      </c>
      <c r="R83" t="s">
        <v>772</v>
      </c>
      <c r="S83">
        <v>41.38</v>
      </c>
      <c r="T83">
        <v>11336</v>
      </c>
      <c r="U83">
        <v>2323</v>
      </c>
      <c r="V83">
        <v>9013</v>
      </c>
      <c r="W83">
        <v>9</v>
      </c>
      <c r="X83" t="s">
        <v>224</v>
      </c>
      <c r="Y83">
        <v>17641880</v>
      </c>
      <c r="Z83" t="s">
        <v>758</v>
      </c>
      <c r="AA83" t="s">
        <v>737</v>
      </c>
    </row>
    <row r="84" spans="1:27" x14ac:dyDescent="0.2">
      <c r="A84" t="s">
        <v>764</v>
      </c>
      <c r="B84" t="s">
        <v>232</v>
      </c>
      <c r="D84">
        <v>12</v>
      </c>
      <c r="E84">
        <v>26636386</v>
      </c>
      <c r="F84" s="3">
        <v>3.0000000000000001E-6</v>
      </c>
      <c r="H84">
        <v>7.0000000000000007E-2</v>
      </c>
      <c r="I84" s="7">
        <v>1.58</v>
      </c>
      <c r="J84" t="s">
        <v>16</v>
      </c>
      <c r="K84" s="7">
        <v>0.45742484703887548</v>
      </c>
      <c r="L84" t="s">
        <v>233</v>
      </c>
      <c r="M84" t="s">
        <v>234</v>
      </c>
      <c r="N84" t="s">
        <v>19</v>
      </c>
      <c r="O84" t="s">
        <v>20</v>
      </c>
      <c r="P84" t="s">
        <v>235</v>
      </c>
      <c r="Q84">
        <v>17827064</v>
      </c>
      <c r="R84" t="s">
        <v>777</v>
      </c>
      <c r="S84">
        <v>44.18</v>
      </c>
      <c r="T84">
        <v>911</v>
      </c>
      <c r="U84">
        <v>461</v>
      </c>
      <c r="V84">
        <v>450</v>
      </c>
      <c r="W84">
        <v>1</v>
      </c>
      <c r="X84" t="s">
        <v>224</v>
      </c>
      <c r="Y84">
        <v>26483453</v>
      </c>
      <c r="Z84" t="s">
        <v>758</v>
      </c>
    </row>
    <row r="85" spans="1:27" x14ac:dyDescent="0.2">
      <c r="A85" t="s">
        <v>764</v>
      </c>
      <c r="B85" t="s">
        <v>39</v>
      </c>
      <c r="C85" t="s">
        <v>729</v>
      </c>
      <c r="D85">
        <v>9</v>
      </c>
      <c r="E85">
        <v>27543281</v>
      </c>
      <c r="F85" s="3">
        <v>8.9999999999999999E-11</v>
      </c>
      <c r="H85">
        <v>0.16</v>
      </c>
      <c r="I85" s="7">
        <v>2.16</v>
      </c>
      <c r="J85" t="s">
        <v>16</v>
      </c>
      <c r="K85" s="7">
        <v>0.77010822169607374</v>
      </c>
      <c r="L85" t="s">
        <v>236</v>
      </c>
      <c r="M85" t="s">
        <v>34</v>
      </c>
      <c r="N85" t="s">
        <v>19</v>
      </c>
      <c r="O85" t="s">
        <v>20</v>
      </c>
      <c r="P85" t="s">
        <v>237</v>
      </c>
      <c r="Q85">
        <v>20801718</v>
      </c>
      <c r="R85" t="s">
        <v>777</v>
      </c>
      <c r="S85">
        <v>44.18</v>
      </c>
      <c r="T85">
        <v>902</v>
      </c>
      <c r="U85">
        <v>405</v>
      </c>
      <c r="V85">
        <v>497</v>
      </c>
      <c r="W85">
        <v>7</v>
      </c>
      <c r="X85" t="s">
        <v>238</v>
      </c>
      <c r="Y85">
        <v>27543283</v>
      </c>
      <c r="Z85" t="s">
        <v>758</v>
      </c>
      <c r="AA85" t="s">
        <v>737</v>
      </c>
    </row>
    <row r="86" spans="1:27" x14ac:dyDescent="0.2">
      <c r="A86" t="s">
        <v>764</v>
      </c>
      <c r="B86" t="s">
        <v>239</v>
      </c>
      <c r="C86" t="s">
        <v>732</v>
      </c>
      <c r="D86">
        <v>21</v>
      </c>
      <c r="E86">
        <v>32918294</v>
      </c>
      <c r="F86" s="3">
        <v>2.9999999999999997E-8</v>
      </c>
      <c r="H86">
        <v>0.17</v>
      </c>
      <c r="I86" s="7">
        <v>2.02</v>
      </c>
      <c r="J86" t="s">
        <v>16</v>
      </c>
      <c r="K86" s="7">
        <v>0.70309751141311339</v>
      </c>
      <c r="L86" t="s">
        <v>240</v>
      </c>
      <c r="M86" t="s">
        <v>241</v>
      </c>
      <c r="N86" t="s">
        <v>19</v>
      </c>
      <c r="O86" t="s">
        <v>20</v>
      </c>
      <c r="P86" t="s">
        <v>237</v>
      </c>
      <c r="Q86">
        <v>20801718</v>
      </c>
      <c r="R86" t="s">
        <v>777</v>
      </c>
      <c r="S86">
        <v>44.18</v>
      </c>
      <c r="T86">
        <v>902</v>
      </c>
      <c r="U86">
        <v>405</v>
      </c>
      <c r="V86">
        <v>497</v>
      </c>
      <c r="W86">
        <v>1</v>
      </c>
      <c r="X86" t="s">
        <v>238</v>
      </c>
      <c r="Y86">
        <v>31545981</v>
      </c>
      <c r="Z86" t="s">
        <v>758</v>
      </c>
      <c r="AA86" t="s">
        <v>737</v>
      </c>
    </row>
    <row r="87" spans="1:27" x14ac:dyDescent="0.2">
      <c r="A87" t="s">
        <v>764</v>
      </c>
      <c r="B87" t="s">
        <v>242</v>
      </c>
      <c r="C87" t="s">
        <v>729</v>
      </c>
      <c r="D87">
        <v>1</v>
      </c>
      <c r="E87">
        <v>209712889</v>
      </c>
      <c r="F87" s="3">
        <v>2.9999999999999997E-8</v>
      </c>
      <c r="H87">
        <v>0.34160000000000001</v>
      </c>
      <c r="I87" s="7">
        <v>1.3120000000000001</v>
      </c>
      <c r="J87" t="s">
        <v>16</v>
      </c>
      <c r="K87" s="7">
        <v>0.27155269052189734</v>
      </c>
      <c r="L87" t="s">
        <v>31</v>
      </c>
      <c r="M87" t="s">
        <v>243</v>
      </c>
      <c r="N87" t="s">
        <v>19</v>
      </c>
      <c r="O87" t="s">
        <v>20</v>
      </c>
      <c r="P87" t="s">
        <v>244</v>
      </c>
      <c r="Q87">
        <v>23624525</v>
      </c>
      <c r="R87" t="s">
        <v>772</v>
      </c>
      <c r="S87">
        <v>41.38</v>
      </c>
      <c r="T87">
        <v>2365</v>
      </c>
      <c r="U87">
        <v>506</v>
      </c>
      <c r="V87">
        <v>1859</v>
      </c>
      <c r="W87">
        <v>2</v>
      </c>
      <c r="X87" t="s">
        <v>245</v>
      </c>
      <c r="Y87">
        <v>209539544</v>
      </c>
      <c r="Z87" t="s">
        <v>760</v>
      </c>
      <c r="AA87" t="s">
        <v>741</v>
      </c>
    </row>
    <row r="88" spans="1:27" x14ac:dyDescent="0.2">
      <c r="A88" t="s">
        <v>764</v>
      </c>
      <c r="B88" t="s">
        <v>246</v>
      </c>
      <c r="C88" t="s">
        <v>730</v>
      </c>
      <c r="D88">
        <v>22</v>
      </c>
      <c r="E88">
        <v>24582041</v>
      </c>
      <c r="F88" s="3">
        <v>2.0000000000000001E-9</v>
      </c>
      <c r="H88">
        <v>0.1026</v>
      </c>
      <c r="I88" s="7">
        <v>1.52</v>
      </c>
      <c r="J88" t="s">
        <v>16</v>
      </c>
      <c r="K88" s="7">
        <v>0.41871033485818504</v>
      </c>
      <c r="L88" t="s">
        <v>31</v>
      </c>
      <c r="M88" t="s">
        <v>247</v>
      </c>
      <c r="N88" t="s">
        <v>19</v>
      </c>
      <c r="O88" t="s">
        <v>20</v>
      </c>
      <c r="P88" t="s">
        <v>244</v>
      </c>
      <c r="Q88">
        <v>23624525</v>
      </c>
      <c r="R88" t="s">
        <v>772</v>
      </c>
      <c r="S88">
        <v>41.38</v>
      </c>
      <c r="T88">
        <v>2365</v>
      </c>
      <c r="U88">
        <v>506</v>
      </c>
      <c r="V88">
        <v>1859</v>
      </c>
      <c r="W88">
        <v>2</v>
      </c>
      <c r="X88" t="s">
        <v>245</v>
      </c>
      <c r="Y88">
        <v>24186073</v>
      </c>
      <c r="Z88" t="s">
        <v>760</v>
      </c>
      <c r="AA88" t="s">
        <v>741</v>
      </c>
    </row>
    <row r="89" spans="1:27" x14ac:dyDescent="0.2">
      <c r="A89" t="s">
        <v>764</v>
      </c>
      <c r="B89" t="s">
        <v>248</v>
      </c>
      <c r="D89">
        <v>11</v>
      </c>
      <c r="E89">
        <v>4496846</v>
      </c>
      <c r="F89" s="3">
        <v>6.9999999999999999E-6</v>
      </c>
      <c r="G89" t="s">
        <v>249</v>
      </c>
      <c r="H89" s="9">
        <v>0.27</v>
      </c>
      <c r="I89" s="7">
        <v>1.43</v>
      </c>
      <c r="J89" t="s">
        <v>16</v>
      </c>
      <c r="K89" s="7">
        <v>0.35767444427181588</v>
      </c>
      <c r="L89" t="s">
        <v>250</v>
      </c>
      <c r="M89" t="s">
        <v>251</v>
      </c>
      <c r="N89" t="s">
        <v>19</v>
      </c>
      <c r="O89" t="s">
        <v>20</v>
      </c>
      <c r="P89" t="s">
        <v>252</v>
      </c>
      <c r="Q89">
        <v>22470424</v>
      </c>
      <c r="R89" t="s">
        <v>780</v>
      </c>
      <c r="S89">
        <v>3.7519999999999998</v>
      </c>
      <c r="T89">
        <v>6896</v>
      </c>
      <c r="U89">
        <v>639</v>
      </c>
      <c r="V89">
        <v>6257</v>
      </c>
      <c r="W89">
        <v>1</v>
      </c>
      <c r="X89" t="s">
        <v>253</v>
      </c>
      <c r="Y89">
        <v>4475616</v>
      </c>
      <c r="Z89" t="s">
        <v>758</v>
      </c>
    </row>
    <row r="90" spans="1:27" x14ac:dyDescent="0.2">
      <c r="A90" t="s">
        <v>764</v>
      </c>
      <c r="B90" t="s">
        <v>254</v>
      </c>
      <c r="D90">
        <v>4</v>
      </c>
      <c r="E90">
        <v>87832601</v>
      </c>
      <c r="F90" s="3">
        <v>8.9999999999999996E-7</v>
      </c>
      <c r="G90" t="s">
        <v>249</v>
      </c>
      <c r="H90" s="9">
        <v>0.39</v>
      </c>
      <c r="I90" s="7">
        <v>1.43</v>
      </c>
      <c r="J90" t="s">
        <v>16</v>
      </c>
      <c r="K90" s="7">
        <v>0.35767444427181588</v>
      </c>
      <c r="L90" t="s">
        <v>250</v>
      </c>
      <c r="M90" t="s">
        <v>255</v>
      </c>
      <c r="N90" t="s">
        <v>19</v>
      </c>
      <c r="O90" t="s">
        <v>20</v>
      </c>
      <c r="P90" t="s">
        <v>252</v>
      </c>
      <c r="Q90">
        <v>22470424</v>
      </c>
      <c r="R90" t="s">
        <v>780</v>
      </c>
      <c r="S90">
        <v>3.7519999999999998</v>
      </c>
      <c r="T90">
        <v>6896</v>
      </c>
      <c r="U90">
        <v>639</v>
      </c>
      <c r="V90">
        <v>6257</v>
      </c>
      <c r="W90">
        <v>1</v>
      </c>
      <c r="X90" t="s">
        <v>253</v>
      </c>
      <c r="Y90">
        <v>86911448</v>
      </c>
      <c r="Z90" t="s">
        <v>758</v>
      </c>
    </row>
    <row r="91" spans="1:27" x14ac:dyDescent="0.2">
      <c r="A91" t="s">
        <v>764</v>
      </c>
      <c r="B91" t="s">
        <v>134</v>
      </c>
      <c r="C91" t="s">
        <v>731</v>
      </c>
      <c r="D91">
        <v>7</v>
      </c>
      <c r="E91">
        <v>154210798</v>
      </c>
      <c r="F91" s="3">
        <v>4.9999999999999998E-8</v>
      </c>
      <c r="H91">
        <v>0.35</v>
      </c>
      <c r="I91" s="7">
        <v>1.3</v>
      </c>
      <c r="J91" t="s">
        <v>16</v>
      </c>
      <c r="K91" s="7">
        <v>0.26236426446749106</v>
      </c>
      <c r="L91" t="s">
        <v>256</v>
      </c>
      <c r="M91" t="s">
        <v>136</v>
      </c>
      <c r="N91" t="s">
        <v>19</v>
      </c>
      <c r="O91" t="s">
        <v>20</v>
      </c>
      <c r="P91" t="s">
        <v>257</v>
      </c>
      <c r="Q91">
        <v>18084291</v>
      </c>
      <c r="R91" t="s">
        <v>772</v>
      </c>
      <c r="S91">
        <v>41.38</v>
      </c>
      <c r="T91">
        <v>1458</v>
      </c>
      <c r="U91">
        <v>737</v>
      </c>
      <c r="V91">
        <v>721</v>
      </c>
      <c r="W91">
        <v>3</v>
      </c>
      <c r="X91" t="s">
        <v>224</v>
      </c>
      <c r="Y91">
        <v>154513713</v>
      </c>
      <c r="Z91" t="s">
        <v>758</v>
      </c>
      <c r="AA91" t="s">
        <v>737</v>
      </c>
    </row>
    <row r="92" spans="1:27" x14ac:dyDescent="0.2">
      <c r="A92" t="s">
        <v>764</v>
      </c>
      <c r="B92" t="s">
        <v>258</v>
      </c>
      <c r="D92">
        <v>15</v>
      </c>
      <c r="E92">
        <v>58746830</v>
      </c>
      <c r="F92" s="3">
        <v>9.0000000000000002E-6</v>
      </c>
      <c r="H92">
        <v>0.28999999999999998</v>
      </c>
      <c r="I92" s="7">
        <v>1.34</v>
      </c>
      <c r="J92" t="s">
        <v>16</v>
      </c>
      <c r="K92" s="7">
        <v>0.29266961396282004</v>
      </c>
      <c r="L92" t="s">
        <v>259</v>
      </c>
      <c r="M92" t="s">
        <v>260</v>
      </c>
      <c r="N92" t="s">
        <v>19</v>
      </c>
      <c r="O92" t="s">
        <v>20</v>
      </c>
      <c r="P92" t="s">
        <v>257</v>
      </c>
      <c r="Q92">
        <v>18084291</v>
      </c>
      <c r="R92" t="s">
        <v>772</v>
      </c>
      <c r="S92">
        <v>41.38</v>
      </c>
      <c r="T92">
        <v>1458</v>
      </c>
      <c r="U92">
        <v>737</v>
      </c>
      <c r="V92">
        <v>721</v>
      </c>
      <c r="W92">
        <v>1</v>
      </c>
      <c r="X92" t="s">
        <v>224</v>
      </c>
      <c r="Y92">
        <v>58454631</v>
      </c>
      <c r="Z92" t="s">
        <v>758</v>
      </c>
    </row>
    <row r="93" spans="1:27" x14ac:dyDescent="0.2">
      <c r="A93" t="s">
        <v>764</v>
      </c>
      <c r="B93" t="s">
        <v>261</v>
      </c>
      <c r="D93">
        <v>2</v>
      </c>
      <c r="E93">
        <v>18540644</v>
      </c>
      <c r="F93" s="3">
        <v>9.0000000000000002E-6</v>
      </c>
      <c r="H93">
        <v>0.45</v>
      </c>
      <c r="I93" s="7">
        <v>1.22</v>
      </c>
      <c r="J93" t="s">
        <v>16</v>
      </c>
      <c r="K93" s="7">
        <v>0.19885085874516517</v>
      </c>
      <c r="L93" t="s">
        <v>262</v>
      </c>
      <c r="M93" t="s">
        <v>117</v>
      </c>
      <c r="N93" t="s">
        <v>19</v>
      </c>
      <c r="O93" t="s">
        <v>20</v>
      </c>
      <c r="P93" t="s">
        <v>257</v>
      </c>
      <c r="Q93">
        <v>18084291</v>
      </c>
      <c r="R93" t="s">
        <v>772</v>
      </c>
      <c r="S93">
        <v>41.38</v>
      </c>
      <c r="T93">
        <v>1458</v>
      </c>
      <c r="U93">
        <v>737</v>
      </c>
      <c r="V93">
        <v>721</v>
      </c>
      <c r="W93">
        <v>1</v>
      </c>
      <c r="X93" t="s">
        <v>224</v>
      </c>
      <c r="Y93">
        <v>18359378</v>
      </c>
      <c r="Z93" t="s">
        <v>758</v>
      </c>
    </row>
    <row r="94" spans="1:27" x14ac:dyDescent="0.2">
      <c r="A94" t="s">
        <v>764</v>
      </c>
      <c r="B94" t="s">
        <v>33</v>
      </c>
      <c r="C94" t="s">
        <v>731</v>
      </c>
      <c r="D94">
        <v>9</v>
      </c>
      <c r="E94">
        <v>27543382</v>
      </c>
      <c r="F94" s="3">
        <v>6E-10</v>
      </c>
      <c r="H94">
        <v>0.24</v>
      </c>
      <c r="I94" s="7">
        <v>1.22</v>
      </c>
      <c r="J94" t="s">
        <v>16</v>
      </c>
      <c r="K94" s="7">
        <v>0.19885085874516517</v>
      </c>
      <c r="L94" t="s">
        <v>31</v>
      </c>
      <c r="M94" t="s">
        <v>34</v>
      </c>
      <c r="N94" t="s">
        <v>19</v>
      </c>
      <c r="O94" t="s">
        <v>20</v>
      </c>
      <c r="P94" t="s">
        <v>263</v>
      </c>
      <c r="Q94">
        <v>24931836</v>
      </c>
      <c r="R94" t="s">
        <v>781</v>
      </c>
      <c r="S94">
        <v>10.42</v>
      </c>
      <c r="T94">
        <v>17394</v>
      </c>
      <c r="U94">
        <v>4377</v>
      </c>
      <c r="V94">
        <v>13017</v>
      </c>
      <c r="W94">
        <v>4</v>
      </c>
      <c r="X94" t="s">
        <v>264</v>
      </c>
      <c r="Y94">
        <v>27543384</v>
      </c>
      <c r="Z94" t="s">
        <v>758</v>
      </c>
      <c r="AA94" t="s">
        <v>737</v>
      </c>
    </row>
    <row r="95" spans="1:27" x14ac:dyDescent="0.2">
      <c r="A95" t="s">
        <v>764</v>
      </c>
      <c r="B95" t="s">
        <v>35</v>
      </c>
      <c r="C95" t="s">
        <v>731</v>
      </c>
      <c r="D95">
        <v>19</v>
      </c>
      <c r="E95">
        <v>17752689</v>
      </c>
      <c r="F95" s="3">
        <v>2E-8</v>
      </c>
      <c r="H95">
        <v>0.35</v>
      </c>
      <c r="I95" s="7">
        <v>1.18</v>
      </c>
      <c r="J95" t="s">
        <v>16</v>
      </c>
      <c r="K95" s="7">
        <v>0.16551443847757333</v>
      </c>
      <c r="L95" t="s">
        <v>31</v>
      </c>
      <c r="M95" t="s">
        <v>36</v>
      </c>
      <c r="N95" t="s">
        <v>19</v>
      </c>
      <c r="O95" t="s">
        <v>20</v>
      </c>
      <c r="P95" t="s">
        <v>263</v>
      </c>
      <c r="Q95">
        <v>24931836</v>
      </c>
      <c r="R95" t="s">
        <v>781</v>
      </c>
      <c r="S95">
        <v>10.42</v>
      </c>
      <c r="T95">
        <v>17394</v>
      </c>
      <c r="U95">
        <v>4377</v>
      </c>
      <c r="V95">
        <v>13017</v>
      </c>
      <c r="W95">
        <v>9</v>
      </c>
      <c r="X95" t="s">
        <v>264</v>
      </c>
      <c r="Y95">
        <v>17641880</v>
      </c>
      <c r="Z95" t="s">
        <v>758</v>
      </c>
      <c r="AA95" t="s">
        <v>737</v>
      </c>
    </row>
    <row r="96" spans="1:27" x14ac:dyDescent="0.2">
      <c r="A96" t="s">
        <v>764</v>
      </c>
      <c r="B96" t="s">
        <v>265</v>
      </c>
      <c r="D96">
        <v>8</v>
      </c>
      <c r="E96">
        <v>126013134</v>
      </c>
      <c r="F96" s="3">
        <v>5.0000000000000004E-6</v>
      </c>
      <c r="H96">
        <v>0.1</v>
      </c>
      <c r="I96" s="7">
        <v>1.25</v>
      </c>
      <c r="J96" t="s">
        <v>16</v>
      </c>
      <c r="K96" s="7">
        <v>0.22314355131420976</v>
      </c>
      <c r="L96" t="s">
        <v>31</v>
      </c>
      <c r="M96" t="s">
        <v>266</v>
      </c>
      <c r="N96" t="s">
        <v>19</v>
      </c>
      <c r="O96" t="s">
        <v>20</v>
      </c>
      <c r="P96" t="s">
        <v>263</v>
      </c>
      <c r="Q96">
        <v>24931836</v>
      </c>
      <c r="R96" t="s">
        <v>781</v>
      </c>
      <c r="S96">
        <v>10.42</v>
      </c>
      <c r="T96">
        <v>17394</v>
      </c>
      <c r="U96">
        <v>4377</v>
      </c>
      <c r="V96">
        <v>13017</v>
      </c>
      <c r="W96">
        <v>1</v>
      </c>
      <c r="X96" t="s">
        <v>264</v>
      </c>
      <c r="Y96">
        <v>125000892</v>
      </c>
      <c r="Z96" t="s">
        <v>758</v>
      </c>
    </row>
    <row r="97" spans="1:27" x14ac:dyDescent="0.2">
      <c r="A97" t="s">
        <v>764</v>
      </c>
      <c r="B97" t="s">
        <v>218</v>
      </c>
      <c r="C97" t="s">
        <v>729</v>
      </c>
      <c r="D97">
        <v>17</v>
      </c>
      <c r="E97">
        <v>16246016</v>
      </c>
      <c r="F97" s="3">
        <v>2.9999999999999999E-7</v>
      </c>
      <c r="H97">
        <v>0.49</v>
      </c>
      <c r="I97" s="7">
        <v>1.1599999999999999</v>
      </c>
      <c r="J97" t="s">
        <v>16</v>
      </c>
      <c r="K97" s="7">
        <v>0.14842000511827322</v>
      </c>
      <c r="L97" t="s">
        <v>31</v>
      </c>
      <c r="M97" t="s">
        <v>220</v>
      </c>
      <c r="N97" t="s">
        <v>19</v>
      </c>
      <c r="O97" t="s">
        <v>20</v>
      </c>
      <c r="P97" t="s">
        <v>263</v>
      </c>
      <c r="Q97">
        <v>24931836</v>
      </c>
      <c r="R97" t="s">
        <v>781</v>
      </c>
      <c r="S97">
        <v>10.42</v>
      </c>
      <c r="T97">
        <v>17394</v>
      </c>
      <c r="U97">
        <v>4377</v>
      </c>
      <c r="V97">
        <v>13017</v>
      </c>
      <c r="W97">
        <v>2</v>
      </c>
      <c r="X97" t="s">
        <v>264</v>
      </c>
      <c r="Y97">
        <v>16342702</v>
      </c>
      <c r="Z97" t="s">
        <v>758</v>
      </c>
    </row>
    <row r="98" spans="1:27" x14ac:dyDescent="0.2">
      <c r="A98" t="s">
        <v>764</v>
      </c>
      <c r="B98" t="s">
        <v>267</v>
      </c>
      <c r="D98">
        <v>3</v>
      </c>
      <c r="E98">
        <v>138025621</v>
      </c>
      <c r="F98" s="3">
        <v>9.9999999999999995E-7</v>
      </c>
      <c r="H98">
        <v>0.71</v>
      </c>
      <c r="I98" s="7">
        <v>1.1764705</v>
      </c>
      <c r="J98" t="s">
        <v>16</v>
      </c>
      <c r="K98" s="7">
        <v>0.16251885449777209</v>
      </c>
      <c r="L98" t="s">
        <v>31</v>
      </c>
      <c r="M98" t="s">
        <v>268</v>
      </c>
      <c r="N98" t="s">
        <v>19</v>
      </c>
      <c r="O98" t="s">
        <v>20</v>
      </c>
      <c r="P98" t="s">
        <v>263</v>
      </c>
      <c r="Q98">
        <v>24931836</v>
      </c>
      <c r="R98" t="s">
        <v>781</v>
      </c>
      <c r="S98">
        <v>10.42</v>
      </c>
      <c r="T98">
        <v>17394</v>
      </c>
      <c r="U98">
        <v>4377</v>
      </c>
      <c r="V98">
        <v>13017</v>
      </c>
      <c r="W98">
        <v>1</v>
      </c>
      <c r="X98" t="s">
        <v>264</v>
      </c>
      <c r="Y98">
        <v>138306779</v>
      </c>
      <c r="Z98" t="s">
        <v>758</v>
      </c>
    </row>
    <row r="99" spans="1:27" x14ac:dyDescent="0.2">
      <c r="A99" t="s">
        <v>764</v>
      </c>
      <c r="B99" t="s">
        <v>269</v>
      </c>
      <c r="C99" t="s">
        <v>731</v>
      </c>
      <c r="D99">
        <v>7</v>
      </c>
      <c r="E99">
        <v>19296968</v>
      </c>
      <c r="F99" s="3">
        <v>7.9999999999999996E-6</v>
      </c>
      <c r="H99">
        <v>0.01</v>
      </c>
      <c r="I99" s="7">
        <v>1.88</v>
      </c>
      <c r="J99" t="s">
        <v>16</v>
      </c>
      <c r="K99" s="7">
        <v>0.63127177684185776</v>
      </c>
      <c r="L99" t="s">
        <v>31</v>
      </c>
      <c r="M99" t="s">
        <v>16</v>
      </c>
      <c r="N99" t="s">
        <v>19</v>
      </c>
      <c r="O99" t="s">
        <v>20</v>
      </c>
      <c r="P99" t="s">
        <v>263</v>
      </c>
      <c r="Q99">
        <v>24931836</v>
      </c>
      <c r="R99" t="s">
        <v>781</v>
      </c>
      <c r="S99">
        <v>10.42</v>
      </c>
      <c r="T99">
        <v>17394</v>
      </c>
      <c r="U99">
        <v>4377</v>
      </c>
      <c r="V99">
        <v>13017</v>
      </c>
      <c r="W99">
        <v>1</v>
      </c>
      <c r="X99" t="s">
        <v>264</v>
      </c>
      <c r="Y99">
        <v>19257345</v>
      </c>
      <c r="Z99" t="s">
        <v>758</v>
      </c>
    </row>
    <row r="100" spans="1:27" x14ac:dyDescent="0.2">
      <c r="A100" t="s">
        <v>764</v>
      </c>
      <c r="B100" t="s">
        <v>270</v>
      </c>
      <c r="C100" t="s">
        <v>731</v>
      </c>
      <c r="D100">
        <v>10</v>
      </c>
      <c r="E100">
        <v>114169190</v>
      </c>
      <c r="F100" s="3">
        <v>7.9999999999999995E-11</v>
      </c>
      <c r="H100" s="9">
        <v>0.35</v>
      </c>
      <c r="I100" s="7">
        <v>1.087</v>
      </c>
      <c r="J100" t="s">
        <v>16</v>
      </c>
      <c r="K100" s="7">
        <v>8.3421608139072359E-2</v>
      </c>
      <c r="L100" t="s">
        <v>271</v>
      </c>
      <c r="M100" t="s">
        <v>272</v>
      </c>
      <c r="N100" t="s">
        <v>19</v>
      </c>
      <c r="O100" t="s">
        <v>20</v>
      </c>
      <c r="P100" t="s">
        <v>273</v>
      </c>
      <c r="Q100">
        <v>32968195</v>
      </c>
      <c r="R100" t="s">
        <v>782</v>
      </c>
      <c r="S100">
        <v>6.548</v>
      </c>
      <c r="T100">
        <v>84343</v>
      </c>
      <c r="U100">
        <v>21979</v>
      </c>
      <c r="V100">
        <v>62364</v>
      </c>
      <c r="W100">
        <v>1</v>
      </c>
      <c r="X100" t="s">
        <v>274</v>
      </c>
      <c r="Y100">
        <v>112409432</v>
      </c>
      <c r="Z100" t="s">
        <v>761</v>
      </c>
      <c r="AA100" t="s">
        <v>741</v>
      </c>
    </row>
    <row r="101" spans="1:27" x14ac:dyDescent="0.2">
      <c r="A101" t="s">
        <v>764</v>
      </c>
      <c r="B101" t="s">
        <v>275</v>
      </c>
      <c r="D101">
        <v>1</v>
      </c>
      <c r="E101">
        <v>75272480</v>
      </c>
      <c r="F101" s="3">
        <v>2E-14</v>
      </c>
      <c r="H101" s="9">
        <v>7.6200000000000004E-2</v>
      </c>
      <c r="I101" s="7">
        <v>1.55</v>
      </c>
      <c r="J101" t="s">
        <v>16</v>
      </c>
      <c r="K101" s="7">
        <v>0.43825493093115531</v>
      </c>
      <c r="L101" t="s">
        <v>276</v>
      </c>
      <c r="M101" t="s">
        <v>277</v>
      </c>
      <c r="N101" t="s">
        <v>19</v>
      </c>
      <c r="O101" t="s">
        <v>20</v>
      </c>
      <c r="P101" t="s">
        <v>278</v>
      </c>
      <c r="Q101">
        <v>31872054</v>
      </c>
      <c r="R101" t="s">
        <v>783</v>
      </c>
      <c r="S101">
        <v>3.6629999999999998</v>
      </c>
      <c r="T101">
        <v>4654</v>
      </c>
      <c r="U101">
        <v>666</v>
      </c>
      <c r="V101">
        <v>3988</v>
      </c>
      <c r="W101">
        <v>1</v>
      </c>
      <c r="X101" t="s">
        <v>279</v>
      </c>
      <c r="Y101">
        <v>74806796</v>
      </c>
      <c r="Z101" t="s">
        <v>760</v>
      </c>
      <c r="AA101" t="s">
        <v>741</v>
      </c>
    </row>
    <row r="102" spans="1:27" x14ac:dyDescent="0.2">
      <c r="A102" t="s">
        <v>764</v>
      </c>
      <c r="B102" t="s">
        <v>280</v>
      </c>
      <c r="D102">
        <v>12</v>
      </c>
      <c r="E102">
        <v>32024256</v>
      </c>
      <c r="F102" s="3">
        <v>5.0000000000000001E-9</v>
      </c>
      <c r="H102" s="9">
        <v>0.1</v>
      </c>
      <c r="I102" s="7">
        <v>1.28</v>
      </c>
      <c r="J102" t="s">
        <v>16</v>
      </c>
      <c r="K102" s="7">
        <v>0.24686007793152581</v>
      </c>
      <c r="L102" t="s">
        <v>276</v>
      </c>
      <c r="M102" t="s">
        <v>281</v>
      </c>
      <c r="N102" t="s">
        <v>19</v>
      </c>
      <c r="O102" t="s">
        <v>20</v>
      </c>
      <c r="P102" t="s">
        <v>278</v>
      </c>
      <c r="Q102">
        <v>31872054</v>
      </c>
      <c r="R102" t="s">
        <v>783</v>
      </c>
      <c r="S102">
        <v>3.6629999999999998</v>
      </c>
      <c r="T102">
        <v>4654</v>
      </c>
      <c r="U102">
        <v>666</v>
      </c>
      <c r="V102">
        <v>3988</v>
      </c>
      <c r="W102">
        <v>1</v>
      </c>
      <c r="X102" t="s">
        <v>279</v>
      </c>
      <c r="Y102">
        <v>31871322</v>
      </c>
      <c r="Z102" t="s">
        <v>760</v>
      </c>
      <c r="AA102" t="s">
        <v>741</v>
      </c>
    </row>
    <row r="103" spans="1:27" x14ac:dyDescent="0.2">
      <c r="A103" t="s">
        <v>764</v>
      </c>
      <c r="B103" t="s">
        <v>282</v>
      </c>
      <c r="D103">
        <v>9</v>
      </c>
      <c r="E103">
        <v>82495768</v>
      </c>
      <c r="F103" s="3">
        <v>9.9999999999999995E-7</v>
      </c>
      <c r="H103" s="9">
        <v>0.3</v>
      </c>
      <c r="I103" s="7">
        <v>1.2820514000000001</v>
      </c>
      <c r="J103" t="s">
        <v>16</v>
      </c>
      <c r="K103" s="7">
        <v>0.24846145129849545</v>
      </c>
      <c r="L103" t="s">
        <v>276</v>
      </c>
      <c r="M103" t="s">
        <v>283</v>
      </c>
      <c r="N103" t="s">
        <v>19</v>
      </c>
      <c r="O103" t="s">
        <v>20</v>
      </c>
      <c r="P103" t="s">
        <v>278</v>
      </c>
      <c r="Q103">
        <v>31872054</v>
      </c>
      <c r="R103" t="s">
        <v>783</v>
      </c>
      <c r="S103">
        <v>3.6629999999999998</v>
      </c>
      <c r="T103">
        <v>4654</v>
      </c>
      <c r="U103">
        <v>666</v>
      </c>
      <c r="V103">
        <v>3988</v>
      </c>
      <c r="W103">
        <v>1</v>
      </c>
      <c r="X103" t="s">
        <v>279</v>
      </c>
      <c r="Y103">
        <v>79880853</v>
      </c>
      <c r="Z103" t="s">
        <v>760</v>
      </c>
      <c r="AA103" t="s">
        <v>735</v>
      </c>
    </row>
    <row r="104" spans="1:27" x14ac:dyDescent="0.2">
      <c r="A104" t="s">
        <v>764</v>
      </c>
      <c r="B104" t="s">
        <v>284</v>
      </c>
      <c r="D104">
        <v>22</v>
      </c>
      <c r="E104">
        <v>22098687</v>
      </c>
      <c r="F104" s="3">
        <v>9.9999999999999995E-7</v>
      </c>
      <c r="H104" s="9">
        <v>0.3</v>
      </c>
      <c r="I104" s="7">
        <v>1.54</v>
      </c>
      <c r="J104" t="s">
        <v>16</v>
      </c>
      <c r="K104" s="7">
        <v>0.43178241642553783</v>
      </c>
      <c r="L104" t="s">
        <v>276</v>
      </c>
      <c r="M104" t="s">
        <v>285</v>
      </c>
      <c r="N104" t="s">
        <v>19</v>
      </c>
      <c r="O104" t="s">
        <v>20</v>
      </c>
      <c r="P104" t="s">
        <v>278</v>
      </c>
      <c r="Q104">
        <v>31872054</v>
      </c>
      <c r="R104" t="s">
        <v>783</v>
      </c>
      <c r="S104">
        <v>3.6629999999999998</v>
      </c>
      <c r="T104">
        <v>4654</v>
      </c>
      <c r="U104">
        <v>666</v>
      </c>
      <c r="V104">
        <v>3988</v>
      </c>
      <c r="W104">
        <v>1</v>
      </c>
      <c r="X104" t="s">
        <v>279</v>
      </c>
      <c r="Y104">
        <v>21744398</v>
      </c>
      <c r="Z104" t="s">
        <v>760</v>
      </c>
      <c r="AA104" t="s">
        <v>735</v>
      </c>
    </row>
    <row r="105" spans="1:27" x14ac:dyDescent="0.2">
      <c r="A105" t="s">
        <v>764</v>
      </c>
      <c r="B105" t="s">
        <v>286</v>
      </c>
      <c r="D105">
        <v>7</v>
      </c>
      <c r="E105">
        <v>152984081</v>
      </c>
      <c r="F105" s="3">
        <v>3.9999999999999998E-6</v>
      </c>
      <c r="H105" s="9">
        <v>0.43</v>
      </c>
      <c r="I105" s="7">
        <v>1.2820514000000001</v>
      </c>
      <c r="J105" t="s">
        <v>16</v>
      </c>
      <c r="K105" s="7">
        <v>0.24846145129849545</v>
      </c>
      <c r="L105" t="s">
        <v>276</v>
      </c>
      <c r="M105" t="s">
        <v>287</v>
      </c>
      <c r="N105" t="s">
        <v>19</v>
      </c>
      <c r="O105" t="s">
        <v>20</v>
      </c>
      <c r="P105" t="s">
        <v>278</v>
      </c>
      <c r="Q105">
        <v>31872054</v>
      </c>
      <c r="R105" t="s">
        <v>783</v>
      </c>
      <c r="S105">
        <v>3.6629999999999998</v>
      </c>
      <c r="T105">
        <v>4654</v>
      </c>
      <c r="U105">
        <v>666</v>
      </c>
      <c r="V105">
        <v>3988</v>
      </c>
      <c r="W105">
        <v>1</v>
      </c>
      <c r="X105" t="s">
        <v>279</v>
      </c>
      <c r="Y105">
        <v>153286996</v>
      </c>
      <c r="Z105" t="s">
        <v>760</v>
      </c>
      <c r="AA105" t="s">
        <v>735</v>
      </c>
    </row>
    <row r="106" spans="1:27" x14ac:dyDescent="0.2">
      <c r="A106" t="s">
        <v>764</v>
      </c>
      <c r="B106" t="s">
        <v>242</v>
      </c>
      <c r="D106">
        <v>1</v>
      </c>
      <c r="E106">
        <v>209712889</v>
      </c>
      <c r="F106" s="3">
        <v>1E-8</v>
      </c>
      <c r="H106">
        <v>0.34160000000000001</v>
      </c>
      <c r="I106" s="7">
        <v>1.3</v>
      </c>
      <c r="J106" t="s">
        <v>16</v>
      </c>
      <c r="K106" s="7">
        <v>0.26236426446749106</v>
      </c>
      <c r="L106" t="s">
        <v>276</v>
      </c>
      <c r="M106" t="s">
        <v>243</v>
      </c>
      <c r="N106" t="s">
        <v>19</v>
      </c>
      <c r="O106" t="s">
        <v>20</v>
      </c>
      <c r="P106" t="s">
        <v>278</v>
      </c>
      <c r="Q106">
        <v>31872054</v>
      </c>
      <c r="R106" t="s">
        <v>783</v>
      </c>
      <c r="S106">
        <v>3.6629999999999998</v>
      </c>
      <c r="T106">
        <v>4654</v>
      </c>
      <c r="U106">
        <v>666</v>
      </c>
      <c r="V106">
        <v>3988</v>
      </c>
      <c r="W106">
        <v>2</v>
      </c>
      <c r="X106" t="s">
        <v>279</v>
      </c>
      <c r="Y106">
        <v>209539544</v>
      </c>
      <c r="Z106" t="s">
        <v>760</v>
      </c>
      <c r="AA106" t="s">
        <v>741</v>
      </c>
    </row>
    <row r="107" spans="1:27" x14ac:dyDescent="0.2">
      <c r="A107" t="s">
        <v>764</v>
      </c>
      <c r="B107" t="s">
        <v>246</v>
      </c>
      <c r="D107">
        <v>22</v>
      </c>
      <c r="E107">
        <v>24582041</v>
      </c>
      <c r="F107" s="3">
        <v>9.9999999999999998E-13</v>
      </c>
      <c r="H107">
        <v>0.1026</v>
      </c>
      <c r="I107" s="7">
        <v>1.57</v>
      </c>
      <c r="J107" t="s">
        <v>16</v>
      </c>
      <c r="K107" s="7">
        <v>0.45107561936021673</v>
      </c>
      <c r="L107" t="s">
        <v>276</v>
      </c>
      <c r="M107" t="s">
        <v>247</v>
      </c>
      <c r="N107" t="s">
        <v>19</v>
      </c>
      <c r="O107" t="s">
        <v>20</v>
      </c>
      <c r="P107" t="s">
        <v>278</v>
      </c>
      <c r="Q107">
        <v>31872054</v>
      </c>
      <c r="R107" t="s">
        <v>783</v>
      </c>
      <c r="S107">
        <v>3.6629999999999998</v>
      </c>
      <c r="T107">
        <v>4654</v>
      </c>
      <c r="U107">
        <v>666</v>
      </c>
      <c r="V107">
        <v>3988</v>
      </c>
      <c r="W107">
        <v>2</v>
      </c>
      <c r="X107" t="s">
        <v>279</v>
      </c>
      <c r="Y107">
        <v>24186073</v>
      </c>
      <c r="Z107" t="s">
        <v>760</v>
      </c>
      <c r="AA107" t="s">
        <v>741</v>
      </c>
    </row>
    <row r="108" spans="1:27" x14ac:dyDescent="0.2">
      <c r="A108" t="s">
        <v>764</v>
      </c>
      <c r="B108" t="s">
        <v>288</v>
      </c>
      <c r="D108">
        <v>5</v>
      </c>
      <c r="E108">
        <v>150410835</v>
      </c>
      <c r="F108" s="3">
        <v>4.0000000000000001E-8</v>
      </c>
      <c r="G108" t="s">
        <v>289</v>
      </c>
      <c r="H108">
        <v>0.24790000000000001</v>
      </c>
      <c r="I108" s="7">
        <v>1.0869565000000001</v>
      </c>
      <c r="J108" t="s">
        <v>16</v>
      </c>
      <c r="K108" s="7">
        <v>8.3381588939050955E-2</v>
      </c>
      <c r="L108" t="s">
        <v>290</v>
      </c>
      <c r="M108" t="s">
        <v>291</v>
      </c>
      <c r="N108" t="s">
        <v>19</v>
      </c>
      <c r="O108" t="s">
        <v>20</v>
      </c>
      <c r="P108" t="s">
        <v>292</v>
      </c>
      <c r="Q108">
        <v>29566793</v>
      </c>
      <c r="R108" t="s">
        <v>784</v>
      </c>
      <c r="S108">
        <v>18.690000000000001</v>
      </c>
      <c r="T108">
        <v>80610</v>
      </c>
      <c r="U108">
        <v>20806</v>
      </c>
      <c r="V108">
        <v>59804</v>
      </c>
      <c r="W108">
        <v>3</v>
      </c>
      <c r="X108" t="s">
        <v>293</v>
      </c>
      <c r="Y108">
        <v>151031274</v>
      </c>
      <c r="Z108" t="s">
        <v>758</v>
      </c>
      <c r="AA108" t="s">
        <v>737</v>
      </c>
    </row>
    <row r="109" spans="1:27" x14ac:dyDescent="0.2">
      <c r="A109" t="s">
        <v>764</v>
      </c>
      <c r="B109" t="s">
        <v>33</v>
      </c>
      <c r="D109">
        <v>9</v>
      </c>
      <c r="E109">
        <v>27543382</v>
      </c>
      <c r="F109" s="3">
        <v>4.0000000000000003E-30</v>
      </c>
      <c r="G109" t="s">
        <v>289</v>
      </c>
      <c r="H109">
        <v>0.23619999999999999</v>
      </c>
      <c r="I109" s="7">
        <v>1.1904762</v>
      </c>
      <c r="J109" t="s">
        <v>16</v>
      </c>
      <c r="K109" s="7">
        <v>0.17435339514477771</v>
      </c>
      <c r="L109" t="s">
        <v>294</v>
      </c>
      <c r="M109" t="s">
        <v>34</v>
      </c>
      <c r="N109" t="s">
        <v>19</v>
      </c>
      <c r="O109" t="s">
        <v>20</v>
      </c>
      <c r="P109" t="s">
        <v>292</v>
      </c>
      <c r="Q109">
        <v>29566793</v>
      </c>
      <c r="R109" t="s">
        <v>784</v>
      </c>
      <c r="S109">
        <v>18.690000000000001</v>
      </c>
      <c r="T109">
        <v>80610</v>
      </c>
      <c r="U109">
        <v>20806</v>
      </c>
      <c r="V109">
        <v>59804</v>
      </c>
      <c r="W109">
        <v>4</v>
      </c>
      <c r="X109" t="s">
        <v>293</v>
      </c>
      <c r="Y109">
        <v>27543384</v>
      </c>
      <c r="Z109" t="s">
        <v>758</v>
      </c>
      <c r="AA109" t="s">
        <v>737</v>
      </c>
    </row>
    <row r="110" spans="1:27" x14ac:dyDescent="0.2">
      <c r="A110" t="s">
        <v>764</v>
      </c>
      <c r="B110" t="s">
        <v>29</v>
      </c>
      <c r="D110">
        <v>12</v>
      </c>
      <c r="E110">
        <v>64881967</v>
      </c>
      <c r="F110" s="3">
        <v>5.0000000000000001E-9</v>
      </c>
      <c r="G110" t="s">
        <v>289</v>
      </c>
      <c r="H110">
        <v>4.2500000000000003E-2</v>
      </c>
      <c r="I110" s="7">
        <v>1.22</v>
      </c>
      <c r="J110" t="s">
        <v>16</v>
      </c>
      <c r="K110" s="7">
        <v>0.19885085874516517</v>
      </c>
      <c r="L110" t="s">
        <v>295</v>
      </c>
      <c r="M110" t="s">
        <v>32</v>
      </c>
      <c r="N110" t="s">
        <v>19</v>
      </c>
      <c r="O110" t="s">
        <v>20</v>
      </c>
      <c r="P110" t="s">
        <v>292</v>
      </c>
      <c r="Q110">
        <v>29566793</v>
      </c>
      <c r="R110" t="s">
        <v>784</v>
      </c>
      <c r="S110">
        <v>18.690000000000001</v>
      </c>
      <c r="T110">
        <v>80610</v>
      </c>
      <c r="U110">
        <v>20806</v>
      </c>
      <c r="V110">
        <v>59804</v>
      </c>
      <c r="W110">
        <v>2</v>
      </c>
      <c r="X110" t="s">
        <v>293</v>
      </c>
      <c r="Y110">
        <v>64488187</v>
      </c>
      <c r="Z110" t="s">
        <v>758</v>
      </c>
      <c r="AA110" t="s">
        <v>737</v>
      </c>
    </row>
    <row r="111" spans="1:27" x14ac:dyDescent="0.2">
      <c r="A111" t="s">
        <v>764</v>
      </c>
      <c r="B111" t="s">
        <v>296</v>
      </c>
      <c r="D111">
        <v>19</v>
      </c>
      <c r="E111">
        <v>17753239</v>
      </c>
      <c r="F111" s="3">
        <v>4.0000000000000003E-15</v>
      </c>
      <c r="G111" t="s">
        <v>289</v>
      </c>
      <c r="H111">
        <v>0.31950000000000001</v>
      </c>
      <c r="I111" s="7">
        <v>1.1235955</v>
      </c>
      <c r="J111" t="s">
        <v>16</v>
      </c>
      <c r="K111" s="7">
        <v>0.11653381125595148</v>
      </c>
      <c r="L111" t="s">
        <v>297</v>
      </c>
      <c r="M111" t="s">
        <v>36</v>
      </c>
      <c r="N111" t="s">
        <v>19</v>
      </c>
      <c r="O111" t="s">
        <v>20</v>
      </c>
      <c r="P111" t="s">
        <v>292</v>
      </c>
      <c r="Q111">
        <v>29566793</v>
      </c>
      <c r="R111" t="s">
        <v>784</v>
      </c>
      <c r="S111">
        <v>18.690000000000001</v>
      </c>
      <c r="T111">
        <v>80610</v>
      </c>
      <c r="U111">
        <v>20806</v>
      </c>
      <c r="V111">
        <v>59804</v>
      </c>
      <c r="W111">
        <v>1</v>
      </c>
      <c r="X111" t="s">
        <v>293</v>
      </c>
      <c r="Y111">
        <v>17642430</v>
      </c>
      <c r="Z111" t="s">
        <v>758</v>
      </c>
      <c r="AA111" t="s">
        <v>737</v>
      </c>
    </row>
    <row r="112" spans="1:27" x14ac:dyDescent="0.2">
      <c r="A112" t="s">
        <v>764</v>
      </c>
      <c r="B112" t="s">
        <v>15</v>
      </c>
      <c r="D112">
        <v>21</v>
      </c>
      <c r="E112">
        <v>45753117</v>
      </c>
      <c r="F112" s="3">
        <v>2E-14</v>
      </c>
      <c r="G112" t="s">
        <v>289</v>
      </c>
      <c r="H112">
        <v>7.7999999999999996E-3</v>
      </c>
      <c r="I112" s="7">
        <v>1.67</v>
      </c>
      <c r="J112" t="s">
        <v>16</v>
      </c>
      <c r="K112" s="7">
        <v>0.51282362642866375</v>
      </c>
      <c r="L112" t="s">
        <v>298</v>
      </c>
      <c r="M112" t="s">
        <v>18</v>
      </c>
      <c r="N112" t="s">
        <v>19</v>
      </c>
      <c r="O112" t="s">
        <v>20</v>
      </c>
      <c r="P112" t="s">
        <v>292</v>
      </c>
      <c r="Q112">
        <v>29566793</v>
      </c>
      <c r="R112" t="s">
        <v>784</v>
      </c>
      <c r="S112">
        <v>18.690000000000001</v>
      </c>
      <c r="T112">
        <v>80610</v>
      </c>
      <c r="U112">
        <v>20806</v>
      </c>
      <c r="V112">
        <v>59804</v>
      </c>
      <c r="W112">
        <v>3</v>
      </c>
      <c r="X112" t="s">
        <v>293</v>
      </c>
      <c r="Y112">
        <v>44333234</v>
      </c>
      <c r="Z112" t="s">
        <v>758</v>
      </c>
      <c r="AA112" t="s">
        <v>737</v>
      </c>
    </row>
    <row r="113" spans="1:27" x14ac:dyDescent="0.2">
      <c r="A113" t="s">
        <v>764</v>
      </c>
      <c r="B113" t="s">
        <v>299</v>
      </c>
      <c r="D113">
        <v>12</v>
      </c>
      <c r="E113">
        <v>57975700</v>
      </c>
      <c r="F113" s="3">
        <v>7.0000000000000005E-13</v>
      </c>
      <c r="H113">
        <v>1.49E-2</v>
      </c>
      <c r="I113" s="7">
        <v>1.39</v>
      </c>
      <c r="J113" t="s">
        <v>16</v>
      </c>
      <c r="K113" s="7">
        <v>0.3293037471426003</v>
      </c>
      <c r="L113" t="s">
        <v>300</v>
      </c>
      <c r="M113" t="s">
        <v>301</v>
      </c>
      <c r="N113" t="s">
        <v>19</v>
      </c>
      <c r="O113" t="s">
        <v>20</v>
      </c>
      <c r="P113" t="s">
        <v>292</v>
      </c>
      <c r="Q113">
        <v>29566793</v>
      </c>
      <c r="R113" t="s">
        <v>784</v>
      </c>
      <c r="S113">
        <v>18.690000000000001</v>
      </c>
      <c r="T113">
        <v>80610</v>
      </c>
      <c r="U113">
        <v>20806</v>
      </c>
      <c r="V113">
        <v>59804</v>
      </c>
      <c r="W113">
        <v>2</v>
      </c>
      <c r="X113" t="s">
        <v>293</v>
      </c>
      <c r="Y113">
        <v>57581917</v>
      </c>
      <c r="Z113" t="s">
        <v>758</v>
      </c>
    </row>
    <row r="114" spans="1:27" x14ac:dyDescent="0.2">
      <c r="A114" t="s">
        <v>764</v>
      </c>
      <c r="B114" t="s">
        <v>302</v>
      </c>
      <c r="D114">
        <v>8</v>
      </c>
      <c r="E114">
        <v>2420855</v>
      </c>
      <c r="F114" s="3">
        <v>9.9999999999999995E-8</v>
      </c>
      <c r="G114" t="s">
        <v>289</v>
      </c>
      <c r="H114">
        <v>9.5000000000000001E-2</v>
      </c>
      <c r="I114" s="7">
        <v>1.1299999999999999</v>
      </c>
      <c r="J114" t="s">
        <v>16</v>
      </c>
      <c r="K114" s="7">
        <v>0.12221763272424911</v>
      </c>
      <c r="L114" t="s">
        <v>303</v>
      </c>
      <c r="M114" t="s">
        <v>16</v>
      </c>
      <c r="N114" t="s">
        <v>19</v>
      </c>
      <c r="O114" t="s">
        <v>20</v>
      </c>
      <c r="P114" t="s">
        <v>292</v>
      </c>
      <c r="Q114">
        <v>29566793</v>
      </c>
      <c r="R114" t="s">
        <v>784</v>
      </c>
      <c r="S114">
        <v>18.690000000000001</v>
      </c>
      <c r="T114">
        <v>80610</v>
      </c>
      <c r="U114">
        <v>20806</v>
      </c>
      <c r="V114">
        <v>59804</v>
      </c>
      <c r="W114">
        <v>1</v>
      </c>
      <c r="X114" t="s">
        <v>293</v>
      </c>
      <c r="Y114">
        <v>2563763</v>
      </c>
      <c r="Z114" t="s">
        <v>758</v>
      </c>
    </row>
    <row r="115" spans="1:27" x14ac:dyDescent="0.2">
      <c r="A115" t="s">
        <v>764</v>
      </c>
      <c r="B115" t="s">
        <v>26</v>
      </c>
      <c r="D115">
        <v>14</v>
      </c>
      <c r="E115">
        <v>31147498</v>
      </c>
      <c r="F115" s="3">
        <v>9.9999999999999995E-8</v>
      </c>
      <c r="G115" t="s">
        <v>289</v>
      </c>
      <c r="H115">
        <v>0.33900000000000002</v>
      </c>
      <c r="I115" s="7">
        <v>1.08</v>
      </c>
      <c r="J115" t="s">
        <v>16</v>
      </c>
      <c r="K115" s="7">
        <v>7.6961041136128394E-2</v>
      </c>
      <c r="L115" t="s">
        <v>304</v>
      </c>
      <c r="M115" t="s">
        <v>28</v>
      </c>
      <c r="N115" t="s">
        <v>19</v>
      </c>
      <c r="O115" t="s">
        <v>20</v>
      </c>
      <c r="P115" t="s">
        <v>292</v>
      </c>
      <c r="Q115">
        <v>29566793</v>
      </c>
      <c r="R115" t="s">
        <v>784</v>
      </c>
      <c r="S115">
        <v>18.690000000000001</v>
      </c>
      <c r="T115">
        <v>80610</v>
      </c>
      <c r="U115">
        <v>20806</v>
      </c>
      <c r="V115">
        <v>59804</v>
      </c>
      <c r="W115">
        <v>2</v>
      </c>
      <c r="X115" t="s">
        <v>293</v>
      </c>
      <c r="Y115">
        <v>30678292</v>
      </c>
      <c r="Z115" t="s">
        <v>758</v>
      </c>
    </row>
    <row r="116" spans="1:27" x14ac:dyDescent="0.2">
      <c r="A116" t="s">
        <v>764</v>
      </c>
      <c r="B116" t="s">
        <v>305</v>
      </c>
      <c r="D116">
        <v>14</v>
      </c>
      <c r="E116">
        <v>92540381</v>
      </c>
      <c r="F116" s="3">
        <v>2.9999999999999999E-7</v>
      </c>
      <c r="G116" t="s">
        <v>289</v>
      </c>
      <c r="H116">
        <v>0.24360000000000001</v>
      </c>
      <c r="I116" s="7">
        <v>1.0900000000000001</v>
      </c>
      <c r="J116" t="s">
        <v>16</v>
      </c>
      <c r="K116" s="7">
        <v>8.6177696241052412E-2</v>
      </c>
      <c r="L116" t="s">
        <v>290</v>
      </c>
      <c r="M116" t="s">
        <v>306</v>
      </c>
      <c r="N116" t="s">
        <v>19</v>
      </c>
      <c r="O116" t="s">
        <v>20</v>
      </c>
      <c r="P116" t="s">
        <v>292</v>
      </c>
      <c r="Q116">
        <v>29566793</v>
      </c>
      <c r="R116" t="s">
        <v>784</v>
      </c>
      <c r="S116">
        <v>18.690000000000001</v>
      </c>
      <c r="T116">
        <v>80610</v>
      </c>
      <c r="U116">
        <v>20806</v>
      </c>
      <c r="V116">
        <v>59804</v>
      </c>
      <c r="W116">
        <v>1</v>
      </c>
      <c r="X116" t="s">
        <v>293</v>
      </c>
      <c r="Y116">
        <v>92074037</v>
      </c>
      <c r="Z116" t="s">
        <v>758</v>
      </c>
    </row>
    <row r="117" spans="1:27" x14ac:dyDescent="0.2">
      <c r="A117" t="s">
        <v>764</v>
      </c>
      <c r="B117" t="s">
        <v>307</v>
      </c>
      <c r="D117">
        <v>17</v>
      </c>
      <c r="E117">
        <v>14673934</v>
      </c>
      <c r="F117" s="3">
        <v>8.9999999999999999E-8</v>
      </c>
      <c r="G117" t="s">
        <v>289</v>
      </c>
      <c r="H117">
        <v>6.9500000000000006E-2</v>
      </c>
      <c r="I117" s="7">
        <v>1.1599999999999999</v>
      </c>
      <c r="J117" t="s">
        <v>16</v>
      </c>
      <c r="K117" s="7">
        <v>0.14842000511827322</v>
      </c>
      <c r="L117" t="s">
        <v>308</v>
      </c>
      <c r="M117" t="s">
        <v>309</v>
      </c>
      <c r="N117" t="s">
        <v>19</v>
      </c>
      <c r="O117" t="s">
        <v>20</v>
      </c>
      <c r="P117" t="s">
        <v>292</v>
      </c>
      <c r="Q117">
        <v>29566793</v>
      </c>
      <c r="R117" t="s">
        <v>784</v>
      </c>
      <c r="S117">
        <v>18.690000000000001</v>
      </c>
      <c r="T117">
        <v>80610</v>
      </c>
      <c r="U117">
        <v>20806</v>
      </c>
      <c r="V117">
        <v>59804</v>
      </c>
      <c r="W117">
        <v>1</v>
      </c>
      <c r="X117" t="s">
        <v>293</v>
      </c>
      <c r="Y117">
        <v>14770617</v>
      </c>
      <c r="Z117" t="s">
        <v>758</v>
      </c>
    </row>
    <row r="118" spans="1:27" x14ac:dyDescent="0.2">
      <c r="A118" t="s">
        <v>737</v>
      </c>
      <c r="B118" t="s">
        <v>743</v>
      </c>
      <c r="C118" t="s">
        <v>729</v>
      </c>
      <c r="D118">
        <v>9</v>
      </c>
      <c r="E118">
        <v>27436084</v>
      </c>
      <c r="F118" s="3">
        <v>2.309E-20</v>
      </c>
      <c r="H118" s="9">
        <v>0.01</v>
      </c>
      <c r="I118" s="7">
        <v>1.8688065152989199</v>
      </c>
      <c r="K118" s="7">
        <v>0.62529999999999575</v>
      </c>
      <c r="L118" t="s">
        <v>749</v>
      </c>
      <c r="M118" t="s">
        <v>745</v>
      </c>
      <c r="N118" t="s">
        <v>19</v>
      </c>
      <c r="O118" t="s">
        <v>20</v>
      </c>
      <c r="P118" t="s">
        <v>292</v>
      </c>
      <c r="Q118">
        <v>29566793</v>
      </c>
      <c r="R118" t="s">
        <v>784</v>
      </c>
      <c r="S118">
        <v>18.690000000000001</v>
      </c>
      <c r="T118">
        <v>80610</v>
      </c>
      <c r="U118">
        <v>20806</v>
      </c>
      <c r="V118">
        <v>59804</v>
      </c>
      <c r="W118">
        <v>2</v>
      </c>
      <c r="X118" t="s">
        <v>293</v>
      </c>
      <c r="Y118">
        <v>27436086</v>
      </c>
      <c r="Z118" t="s">
        <v>758</v>
      </c>
    </row>
    <row r="119" spans="1:27" x14ac:dyDescent="0.2">
      <c r="A119" t="s">
        <v>737</v>
      </c>
      <c r="B119" t="s">
        <v>750</v>
      </c>
      <c r="C119" t="s">
        <v>731</v>
      </c>
      <c r="D119">
        <v>9</v>
      </c>
      <c r="E119">
        <v>27491942</v>
      </c>
      <c r="F119" s="3">
        <v>4.2019999999999999E-19</v>
      </c>
      <c r="H119" s="9">
        <v>0.01</v>
      </c>
      <c r="I119" s="7">
        <v>1.7194423102120999</v>
      </c>
      <c r="K119" s="7">
        <v>0.54199999999999637</v>
      </c>
      <c r="L119" t="s">
        <v>751</v>
      </c>
      <c r="M119" t="s">
        <v>745</v>
      </c>
      <c r="N119" t="s">
        <v>19</v>
      </c>
      <c r="O119" t="s">
        <v>20</v>
      </c>
      <c r="P119" t="s">
        <v>292</v>
      </c>
      <c r="Q119">
        <v>29566793</v>
      </c>
      <c r="R119" t="s">
        <v>784</v>
      </c>
      <c r="S119">
        <v>18.690000000000001</v>
      </c>
      <c r="T119">
        <v>80610</v>
      </c>
      <c r="U119">
        <v>20806</v>
      </c>
      <c r="V119">
        <v>59804</v>
      </c>
      <c r="W119">
        <v>1</v>
      </c>
      <c r="X119" t="s">
        <v>293</v>
      </c>
      <c r="Y119">
        <v>27491944</v>
      </c>
      <c r="Z119" t="s">
        <v>758</v>
      </c>
    </row>
    <row r="120" spans="1:27" x14ac:dyDescent="0.2">
      <c r="A120" t="s">
        <v>737</v>
      </c>
      <c r="B120" t="s">
        <v>752</v>
      </c>
      <c r="C120" t="s">
        <v>730</v>
      </c>
      <c r="D120">
        <v>9</v>
      </c>
      <c r="E120">
        <v>27543629</v>
      </c>
      <c r="F120" s="3">
        <v>7.2219999999999997E-11</v>
      </c>
      <c r="H120" s="9">
        <v>8.9999999999999993E-3</v>
      </c>
      <c r="I120" s="7">
        <v>1.5977557686096899</v>
      </c>
      <c r="K120" s="7">
        <v>0.46859999999999957</v>
      </c>
      <c r="L120" t="s">
        <v>753</v>
      </c>
      <c r="M120" t="s">
        <v>91</v>
      </c>
      <c r="N120" t="s">
        <v>19</v>
      </c>
      <c r="O120" t="s">
        <v>20</v>
      </c>
      <c r="P120" t="s">
        <v>292</v>
      </c>
      <c r="Q120">
        <v>29566793</v>
      </c>
      <c r="R120" t="s">
        <v>784</v>
      </c>
      <c r="S120">
        <v>18.690000000000001</v>
      </c>
      <c r="T120">
        <v>80610</v>
      </c>
      <c r="U120">
        <v>20806</v>
      </c>
      <c r="V120">
        <v>59804</v>
      </c>
      <c r="W120">
        <v>1</v>
      </c>
      <c r="X120" t="s">
        <v>293</v>
      </c>
      <c r="Y120">
        <v>27543631</v>
      </c>
      <c r="Z120" t="s">
        <v>758</v>
      </c>
    </row>
    <row r="121" spans="1:27" x14ac:dyDescent="0.2">
      <c r="A121" t="s">
        <v>737</v>
      </c>
      <c r="B121" t="s">
        <v>754</v>
      </c>
      <c r="C121" t="s">
        <v>731</v>
      </c>
      <c r="D121">
        <v>12</v>
      </c>
      <c r="E121">
        <v>58676132</v>
      </c>
      <c r="F121" s="3">
        <v>6.1469999999999996E-10</v>
      </c>
      <c r="H121" s="9">
        <v>0.02</v>
      </c>
      <c r="I121" s="7">
        <v>1.3732771999017199</v>
      </c>
      <c r="K121" s="7">
        <v>0.31719999999999549</v>
      </c>
      <c r="L121" t="s">
        <v>755</v>
      </c>
      <c r="M121" t="s">
        <v>756</v>
      </c>
      <c r="N121" t="s">
        <v>19</v>
      </c>
      <c r="O121" t="s">
        <v>20</v>
      </c>
      <c r="P121" t="s">
        <v>292</v>
      </c>
      <c r="Q121">
        <v>29566793</v>
      </c>
      <c r="R121" t="s">
        <v>784</v>
      </c>
      <c r="S121">
        <v>18.690000000000001</v>
      </c>
      <c r="T121">
        <v>80610</v>
      </c>
      <c r="U121">
        <v>20806</v>
      </c>
      <c r="V121">
        <v>59804</v>
      </c>
      <c r="W121">
        <v>1</v>
      </c>
      <c r="X121" t="s">
        <v>293</v>
      </c>
      <c r="Y121">
        <v>58282349</v>
      </c>
      <c r="Z121" t="s">
        <v>758</v>
      </c>
    </row>
    <row r="122" spans="1:27" x14ac:dyDescent="0.2">
      <c r="A122" t="s">
        <v>764</v>
      </c>
      <c r="B122" t="s">
        <v>310</v>
      </c>
      <c r="C122" t="s">
        <v>729</v>
      </c>
      <c r="D122">
        <v>4</v>
      </c>
      <c r="E122">
        <v>170583157</v>
      </c>
      <c r="F122" s="3">
        <v>7.0000000000000005E-8</v>
      </c>
      <c r="H122">
        <v>0.33500000000000002</v>
      </c>
      <c r="J122" t="s">
        <v>311</v>
      </c>
      <c r="K122" s="7">
        <v>6.3E-2</v>
      </c>
      <c r="L122" t="s">
        <v>312</v>
      </c>
      <c r="M122" t="s">
        <v>313</v>
      </c>
      <c r="N122" t="s">
        <v>19</v>
      </c>
      <c r="O122" t="s">
        <v>20</v>
      </c>
      <c r="P122" t="s">
        <v>314</v>
      </c>
      <c r="Q122" s="2">
        <v>34873335</v>
      </c>
      <c r="R122" t="s">
        <v>772</v>
      </c>
      <c r="S122">
        <v>41.38</v>
      </c>
      <c r="T122">
        <v>138086</v>
      </c>
      <c r="U122">
        <v>27205</v>
      </c>
      <c r="V122">
        <v>110881</v>
      </c>
      <c r="W122">
        <v>2</v>
      </c>
      <c r="X122" t="s">
        <v>22</v>
      </c>
      <c r="Y122">
        <v>169662006</v>
      </c>
      <c r="Z122" t="s">
        <v>758</v>
      </c>
      <c r="AA122" t="s">
        <v>736</v>
      </c>
    </row>
    <row r="123" spans="1:27" x14ac:dyDescent="0.2">
      <c r="A123" t="s">
        <v>764</v>
      </c>
      <c r="B123" t="s">
        <v>315</v>
      </c>
      <c r="C123" t="s">
        <v>731</v>
      </c>
      <c r="D123">
        <v>13</v>
      </c>
      <c r="E123">
        <v>46113984</v>
      </c>
      <c r="F123" s="3">
        <v>1.9999999999999999E-7</v>
      </c>
      <c r="H123">
        <v>0.25900000000000001</v>
      </c>
      <c r="J123" t="s">
        <v>316</v>
      </c>
      <c r="K123" s="7">
        <v>6.6000000000000003E-2</v>
      </c>
      <c r="L123" t="s">
        <v>317</v>
      </c>
      <c r="M123" t="s">
        <v>318</v>
      </c>
      <c r="N123" t="s">
        <v>19</v>
      </c>
      <c r="O123" t="s">
        <v>20</v>
      </c>
      <c r="P123" t="s">
        <v>314</v>
      </c>
      <c r="Q123" s="2">
        <v>34873335</v>
      </c>
      <c r="R123" t="s">
        <v>772</v>
      </c>
      <c r="S123">
        <v>41.38</v>
      </c>
      <c r="T123">
        <v>138086</v>
      </c>
      <c r="U123">
        <v>27205</v>
      </c>
      <c r="V123">
        <v>110881</v>
      </c>
      <c r="W123">
        <v>2</v>
      </c>
      <c r="X123" t="s">
        <v>22</v>
      </c>
      <c r="Y123">
        <v>45539849</v>
      </c>
      <c r="Z123" t="s">
        <v>758</v>
      </c>
      <c r="AA123" t="s">
        <v>736</v>
      </c>
    </row>
    <row r="124" spans="1:27" x14ac:dyDescent="0.2">
      <c r="A124" t="s">
        <v>764</v>
      </c>
      <c r="B124" t="s">
        <v>319</v>
      </c>
      <c r="C124" t="s">
        <v>730</v>
      </c>
      <c r="D124">
        <v>7</v>
      </c>
      <c r="E124">
        <v>157481780</v>
      </c>
      <c r="F124" s="3">
        <v>6.0000000000000002E-6</v>
      </c>
      <c r="H124">
        <v>0.124</v>
      </c>
      <c r="J124" t="s">
        <v>320</v>
      </c>
      <c r="K124" s="7">
        <v>7.5999999999999998E-2</v>
      </c>
      <c r="L124" t="s">
        <v>321</v>
      </c>
      <c r="M124" t="s">
        <v>322</v>
      </c>
      <c r="N124" t="s">
        <v>19</v>
      </c>
      <c r="O124" t="s">
        <v>20</v>
      </c>
      <c r="P124" t="s">
        <v>314</v>
      </c>
      <c r="Q124" s="2">
        <v>34873335</v>
      </c>
      <c r="R124" t="s">
        <v>772</v>
      </c>
      <c r="S124">
        <v>41.38</v>
      </c>
      <c r="T124">
        <v>138086</v>
      </c>
      <c r="U124">
        <v>27205</v>
      </c>
      <c r="V124">
        <v>110881</v>
      </c>
      <c r="W124">
        <v>2</v>
      </c>
      <c r="X124" t="s">
        <v>22</v>
      </c>
      <c r="Y124">
        <v>157689088</v>
      </c>
      <c r="Z124" t="s">
        <v>758</v>
      </c>
      <c r="AA124" t="s">
        <v>736</v>
      </c>
    </row>
    <row r="125" spans="1:27" x14ac:dyDescent="0.2">
      <c r="A125" t="s">
        <v>764</v>
      </c>
      <c r="B125" t="s">
        <v>323</v>
      </c>
      <c r="C125" t="s">
        <v>730</v>
      </c>
      <c r="D125">
        <v>3</v>
      </c>
      <c r="E125">
        <v>39508968</v>
      </c>
      <c r="F125" s="3">
        <v>3.0000000000000001E-12</v>
      </c>
      <c r="H125" s="9">
        <v>0.29099999999999998</v>
      </c>
      <c r="I125" s="7">
        <f>EXP(-0.079)</f>
        <v>0.92403992444508676</v>
      </c>
      <c r="J125" t="s">
        <v>324</v>
      </c>
      <c r="K125" s="7">
        <v>0.08</v>
      </c>
      <c r="L125" t="s">
        <v>325</v>
      </c>
      <c r="M125" t="s">
        <v>25</v>
      </c>
      <c r="N125" t="s">
        <v>19</v>
      </c>
      <c r="O125" t="s">
        <v>20</v>
      </c>
      <c r="P125" t="s">
        <v>326</v>
      </c>
      <c r="Q125" s="2">
        <v>34873335</v>
      </c>
      <c r="R125" t="s">
        <v>772</v>
      </c>
      <c r="S125">
        <v>41.38</v>
      </c>
      <c r="T125">
        <v>138086</v>
      </c>
      <c r="U125">
        <v>27205</v>
      </c>
      <c r="V125">
        <v>110881</v>
      </c>
      <c r="W125">
        <v>2</v>
      </c>
      <c r="X125" t="s">
        <v>22</v>
      </c>
      <c r="Y125">
        <v>39467477</v>
      </c>
      <c r="Z125" t="s">
        <v>758</v>
      </c>
      <c r="AA125" t="s">
        <v>757</v>
      </c>
    </row>
    <row r="126" spans="1:27" x14ac:dyDescent="0.2">
      <c r="A126" t="s">
        <v>764</v>
      </c>
      <c r="B126" t="s">
        <v>310</v>
      </c>
      <c r="C126" t="s">
        <v>729</v>
      </c>
      <c r="D126">
        <v>4</v>
      </c>
      <c r="E126">
        <v>170583157</v>
      </c>
      <c r="F126" s="3">
        <v>6.9999999999999998E-9</v>
      </c>
      <c r="J126" t="s">
        <v>327</v>
      </c>
      <c r="K126" s="7">
        <v>7.0000000000000007E-2</v>
      </c>
      <c r="L126" t="s">
        <v>328</v>
      </c>
      <c r="M126" t="s">
        <v>313</v>
      </c>
      <c r="N126" t="s">
        <v>19</v>
      </c>
      <c r="O126" t="s">
        <v>20</v>
      </c>
      <c r="P126" t="s">
        <v>326</v>
      </c>
      <c r="Q126" s="2">
        <v>34873335</v>
      </c>
      <c r="R126" t="s">
        <v>772</v>
      </c>
      <c r="S126">
        <v>41.38</v>
      </c>
      <c r="T126">
        <v>138086</v>
      </c>
      <c r="U126">
        <v>27205</v>
      </c>
      <c r="V126">
        <v>110881</v>
      </c>
      <c r="W126">
        <v>2</v>
      </c>
      <c r="X126" t="s">
        <v>22</v>
      </c>
      <c r="Y126">
        <v>169662006</v>
      </c>
      <c r="Z126" t="s">
        <v>758</v>
      </c>
      <c r="AA126" t="s">
        <v>736</v>
      </c>
    </row>
    <row r="127" spans="1:27" x14ac:dyDescent="0.2">
      <c r="A127" t="s">
        <v>764</v>
      </c>
      <c r="B127" t="s">
        <v>288</v>
      </c>
      <c r="C127" t="s">
        <v>731</v>
      </c>
      <c r="D127">
        <v>5</v>
      </c>
      <c r="E127">
        <v>150410835</v>
      </c>
      <c r="F127" s="3">
        <v>3E-10</v>
      </c>
      <c r="H127" s="9">
        <v>0.253</v>
      </c>
      <c r="I127" s="7">
        <f>EXP(-0.079)</f>
        <v>0.92403992444508676</v>
      </c>
      <c r="J127" t="s">
        <v>324</v>
      </c>
      <c r="K127" s="7">
        <v>0.08</v>
      </c>
      <c r="L127" t="s">
        <v>329</v>
      </c>
      <c r="M127" t="s">
        <v>291</v>
      </c>
      <c r="N127" t="s">
        <v>19</v>
      </c>
      <c r="O127" t="s">
        <v>20</v>
      </c>
      <c r="P127" t="s">
        <v>326</v>
      </c>
      <c r="Q127" s="2">
        <v>34873335</v>
      </c>
      <c r="R127" t="s">
        <v>772</v>
      </c>
      <c r="S127">
        <v>41.38</v>
      </c>
      <c r="T127">
        <v>138086</v>
      </c>
      <c r="U127">
        <v>27205</v>
      </c>
      <c r="V127">
        <v>110881</v>
      </c>
      <c r="W127">
        <v>3</v>
      </c>
      <c r="X127" t="s">
        <v>22</v>
      </c>
      <c r="Y127">
        <v>151031274</v>
      </c>
      <c r="Z127" t="s">
        <v>758</v>
      </c>
      <c r="AA127" t="s">
        <v>757</v>
      </c>
    </row>
    <row r="128" spans="1:27" x14ac:dyDescent="0.2">
      <c r="A128" t="s">
        <v>764</v>
      </c>
      <c r="B128" t="s">
        <v>330</v>
      </c>
      <c r="C128" t="s">
        <v>731</v>
      </c>
      <c r="D128">
        <v>5</v>
      </c>
      <c r="E128">
        <v>172354731</v>
      </c>
      <c r="F128" s="3">
        <v>6E-9</v>
      </c>
      <c r="H128" s="9">
        <v>0.39700000000000002</v>
      </c>
      <c r="I128" s="7">
        <f>EXP(-0.065)</f>
        <v>0.93706746337740343</v>
      </c>
      <c r="J128" t="s">
        <v>331</v>
      </c>
      <c r="K128" s="7">
        <v>-0.06</v>
      </c>
      <c r="L128" t="s">
        <v>332</v>
      </c>
      <c r="M128" t="s">
        <v>333</v>
      </c>
      <c r="N128" t="s">
        <v>19</v>
      </c>
      <c r="O128" t="s">
        <v>20</v>
      </c>
      <c r="P128" t="s">
        <v>326</v>
      </c>
      <c r="Q128" s="2">
        <v>34873335</v>
      </c>
      <c r="R128" t="s">
        <v>772</v>
      </c>
      <c r="S128">
        <v>41.38</v>
      </c>
      <c r="T128">
        <v>138086</v>
      </c>
      <c r="U128">
        <v>27205</v>
      </c>
      <c r="V128">
        <v>110881</v>
      </c>
      <c r="W128">
        <v>2</v>
      </c>
      <c r="X128" t="s">
        <v>22</v>
      </c>
      <c r="Y128">
        <v>172927728</v>
      </c>
      <c r="Z128" t="s">
        <v>758</v>
      </c>
      <c r="AA128" t="s">
        <v>757</v>
      </c>
    </row>
    <row r="129" spans="1:27" x14ac:dyDescent="0.2">
      <c r="A129" t="s">
        <v>764</v>
      </c>
      <c r="B129" t="s">
        <v>334</v>
      </c>
      <c r="C129" t="s">
        <v>731</v>
      </c>
      <c r="D129">
        <v>6</v>
      </c>
      <c r="E129">
        <v>32672641</v>
      </c>
      <c r="F129" s="3">
        <v>3.9999999999999999E-12</v>
      </c>
      <c r="H129" s="9">
        <v>9.6000000000000002E-2</v>
      </c>
      <c r="I129" s="7">
        <f>EXP(-0.143)</f>
        <v>0.866754068895489</v>
      </c>
      <c r="J129" t="s">
        <v>335</v>
      </c>
      <c r="K129" s="7">
        <v>-0.14199999999999999</v>
      </c>
      <c r="L129" t="s">
        <v>336</v>
      </c>
      <c r="M129" t="s">
        <v>337</v>
      </c>
      <c r="N129" t="s">
        <v>19</v>
      </c>
      <c r="O129" t="s">
        <v>20</v>
      </c>
      <c r="P129" t="s">
        <v>326</v>
      </c>
      <c r="Q129" s="2">
        <v>34873335</v>
      </c>
      <c r="R129" t="s">
        <v>772</v>
      </c>
      <c r="S129">
        <v>41.38</v>
      </c>
      <c r="T129">
        <v>138086</v>
      </c>
      <c r="U129">
        <v>27205</v>
      </c>
      <c r="V129">
        <v>110881</v>
      </c>
      <c r="W129">
        <v>2</v>
      </c>
      <c r="X129" t="s">
        <v>22</v>
      </c>
      <c r="Y129">
        <v>32704864</v>
      </c>
      <c r="Z129" t="s">
        <v>758</v>
      </c>
      <c r="AA129" t="s">
        <v>757</v>
      </c>
    </row>
    <row r="130" spans="1:27" x14ac:dyDescent="0.2">
      <c r="A130" t="s">
        <v>764</v>
      </c>
      <c r="B130" t="s">
        <v>319</v>
      </c>
      <c r="C130" t="s">
        <v>730</v>
      </c>
      <c r="D130">
        <v>7</v>
      </c>
      <c r="E130">
        <v>157481780</v>
      </c>
      <c r="F130" s="3">
        <v>2E-8</v>
      </c>
      <c r="J130" t="s">
        <v>338</v>
      </c>
      <c r="K130" s="7">
        <v>8.5999999999999993E-2</v>
      </c>
      <c r="L130" t="s">
        <v>339</v>
      </c>
      <c r="M130" t="s">
        <v>322</v>
      </c>
      <c r="N130" t="s">
        <v>19</v>
      </c>
      <c r="O130" t="s">
        <v>20</v>
      </c>
      <c r="P130" t="s">
        <v>326</v>
      </c>
      <c r="Q130" s="2">
        <v>34873335</v>
      </c>
      <c r="R130" t="s">
        <v>772</v>
      </c>
      <c r="S130">
        <v>41.38</v>
      </c>
      <c r="T130">
        <v>138086</v>
      </c>
      <c r="U130">
        <v>27205</v>
      </c>
      <c r="V130">
        <v>110881</v>
      </c>
      <c r="W130">
        <v>2</v>
      </c>
      <c r="X130" t="s">
        <v>22</v>
      </c>
      <c r="Y130">
        <v>157689088</v>
      </c>
      <c r="Z130" t="s">
        <v>758</v>
      </c>
      <c r="AA130" t="s">
        <v>736</v>
      </c>
    </row>
    <row r="131" spans="1:27" x14ac:dyDescent="0.2">
      <c r="A131" t="s">
        <v>764</v>
      </c>
      <c r="B131" t="s">
        <v>340</v>
      </c>
      <c r="C131" t="s">
        <v>729</v>
      </c>
      <c r="D131">
        <v>9</v>
      </c>
      <c r="E131">
        <v>27563868</v>
      </c>
      <c r="F131" s="3">
        <v>1E-41</v>
      </c>
      <c r="H131" s="9">
        <v>0.248</v>
      </c>
      <c r="J131" t="s">
        <v>341</v>
      </c>
      <c r="K131" s="7">
        <v>0.17</v>
      </c>
      <c r="L131" t="s">
        <v>342</v>
      </c>
      <c r="M131" t="s">
        <v>16</v>
      </c>
      <c r="N131" t="s">
        <v>19</v>
      </c>
      <c r="O131" t="s">
        <v>20</v>
      </c>
      <c r="P131" t="s">
        <v>326</v>
      </c>
      <c r="Q131" s="2">
        <v>34873335</v>
      </c>
      <c r="R131" t="s">
        <v>772</v>
      </c>
      <c r="S131">
        <v>41.38</v>
      </c>
      <c r="T131">
        <v>138086</v>
      </c>
      <c r="U131">
        <v>27205</v>
      </c>
      <c r="V131">
        <v>110881</v>
      </c>
      <c r="W131">
        <v>2</v>
      </c>
      <c r="X131" t="s">
        <v>22</v>
      </c>
      <c r="Y131">
        <v>27563870</v>
      </c>
      <c r="Z131" t="s">
        <v>758</v>
      </c>
      <c r="AA131" t="s">
        <v>736</v>
      </c>
    </row>
    <row r="132" spans="1:27" x14ac:dyDescent="0.2">
      <c r="A132" t="s">
        <v>764</v>
      </c>
      <c r="B132" t="s">
        <v>343</v>
      </c>
      <c r="C132" t="s">
        <v>729</v>
      </c>
      <c r="D132">
        <v>12</v>
      </c>
      <c r="E132">
        <v>64877053</v>
      </c>
      <c r="F132" s="3">
        <v>2.0000000000000001E-9</v>
      </c>
      <c r="H132" s="9">
        <v>0.112</v>
      </c>
      <c r="J132" t="s">
        <v>344</v>
      </c>
      <c r="K132" s="7">
        <v>-0.1</v>
      </c>
      <c r="L132" t="s">
        <v>345</v>
      </c>
      <c r="M132" t="s">
        <v>32</v>
      </c>
      <c r="N132" t="s">
        <v>19</v>
      </c>
      <c r="O132" t="s">
        <v>20</v>
      </c>
      <c r="P132" t="s">
        <v>326</v>
      </c>
      <c r="Q132" s="2">
        <v>34873335</v>
      </c>
      <c r="R132" t="s">
        <v>772</v>
      </c>
      <c r="S132">
        <v>41.38</v>
      </c>
      <c r="T132">
        <v>138086</v>
      </c>
      <c r="U132">
        <v>27205</v>
      </c>
      <c r="V132">
        <v>110881</v>
      </c>
      <c r="W132">
        <v>2</v>
      </c>
      <c r="X132" t="s">
        <v>22</v>
      </c>
      <c r="Y132">
        <v>64483273</v>
      </c>
      <c r="Z132" t="s">
        <v>758</v>
      </c>
      <c r="AA132" t="s">
        <v>757</v>
      </c>
    </row>
    <row r="133" spans="1:27" x14ac:dyDescent="0.2">
      <c r="A133" t="s">
        <v>764</v>
      </c>
      <c r="B133" t="s">
        <v>315</v>
      </c>
      <c r="C133" t="s">
        <v>731</v>
      </c>
      <c r="D133">
        <v>13</v>
      </c>
      <c r="E133">
        <v>46113984</v>
      </c>
      <c r="F133" s="3">
        <v>1E-8</v>
      </c>
      <c r="J133" t="s">
        <v>327</v>
      </c>
      <c r="K133" s="7">
        <v>7.0000000000000007E-2</v>
      </c>
      <c r="L133" t="s">
        <v>328</v>
      </c>
      <c r="M133" t="s">
        <v>318</v>
      </c>
      <c r="N133" t="s">
        <v>19</v>
      </c>
      <c r="O133" t="s">
        <v>20</v>
      </c>
      <c r="P133" t="s">
        <v>326</v>
      </c>
      <c r="Q133" s="2">
        <v>34873335</v>
      </c>
      <c r="R133" t="s">
        <v>772</v>
      </c>
      <c r="S133">
        <v>41.38</v>
      </c>
      <c r="T133">
        <v>138086</v>
      </c>
      <c r="U133">
        <v>27205</v>
      </c>
      <c r="V133">
        <v>110881</v>
      </c>
      <c r="W133">
        <v>2</v>
      </c>
      <c r="X133" t="s">
        <v>22</v>
      </c>
      <c r="Y133">
        <v>45539849</v>
      </c>
      <c r="Z133" t="s">
        <v>758</v>
      </c>
      <c r="AA133" t="s">
        <v>736</v>
      </c>
    </row>
    <row r="134" spans="1:27" x14ac:dyDescent="0.2">
      <c r="A134" t="s">
        <v>764</v>
      </c>
      <c r="B134" t="s">
        <v>35</v>
      </c>
      <c r="C134" t="s">
        <v>731</v>
      </c>
      <c r="D134">
        <v>19</v>
      </c>
      <c r="E134">
        <v>17752689</v>
      </c>
      <c r="F134" s="3">
        <v>2.9999999999999998E-25</v>
      </c>
      <c r="H134" s="9">
        <v>0.35</v>
      </c>
      <c r="I134" s="7">
        <f>EXP(0.125)</f>
        <v>1.1331484530668263</v>
      </c>
      <c r="J134" t="s">
        <v>346</v>
      </c>
      <c r="K134" s="7">
        <v>0.12</v>
      </c>
      <c r="L134" t="s">
        <v>347</v>
      </c>
      <c r="M134" t="s">
        <v>36</v>
      </c>
      <c r="N134" t="s">
        <v>19</v>
      </c>
      <c r="O134" t="s">
        <v>20</v>
      </c>
      <c r="P134" t="s">
        <v>326</v>
      </c>
      <c r="Q134" s="2">
        <v>34873335</v>
      </c>
      <c r="R134" t="s">
        <v>772</v>
      </c>
      <c r="S134">
        <v>41.38</v>
      </c>
      <c r="T134">
        <v>138086</v>
      </c>
      <c r="U134">
        <v>27205</v>
      </c>
      <c r="V134">
        <v>110881</v>
      </c>
      <c r="W134">
        <v>9</v>
      </c>
      <c r="X134" t="s">
        <v>22</v>
      </c>
      <c r="Y134">
        <v>17641880</v>
      </c>
      <c r="Z134" t="s">
        <v>758</v>
      </c>
      <c r="AA134" t="s">
        <v>757</v>
      </c>
    </row>
    <row r="135" spans="1:27" x14ac:dyDescent="0.2">
      <c r="A135" t="s">
        <v>764</v>
      </c>
      <c r="B135" t="s">
        <v>348</v>
      </c>
      <c r="C135" t="s">
        <v>729</v>
      </c>
      <c r="D135">
        <v>20</v>
      </c>
      <c r="E135">
        <v>48438761</v>
      </c>
      <c r="F135" s="3">
        <v>3E-10</v>
      </c>
      <c r="H135" s="9">
        <v>0.35299999999999998</v>
      </c>
      <c r="J135" t="s">
        <v>327</v>
      </c>
      <c r="K135" s="7">
        <v>7.0000000000000007E-2</v>
      </c>
      <c r="L135" t="s">
        <v>328</v>
      </c>
      <c r="M135" t="s">
        <v>349</v>
      </c>
      <c r="N135" t="s">
        <v>19</v>
      </c>
      <c r="O135" t="s">
        <v>20</v>
      </c>
      <c r="P135" t="s">
        <v>326</v>
      </c>
      <c r="Q135" s="2">
        <v>34873335</v>
      </c>
      <c r="R135" t="s">
        <v>772</v>
      </c>
      <c r="S135">
        <v>41.38</v>
      </c>
      <c r="T135">
        <v>138086</v>
      </c>
      <c r="U135">
        <v>27205</v>
      </c>
      <c r="V135">
        <v>110881</v>
      </c>
      <c r="W135">
        <v>2</v>
      </c>
      <c r="X135" t="s">
        <v>22</v>
      </c>
      <c r="Y135">
        <v>49822224</v>
      </c>
      <c r="Z135" t="s">
        <v>758</v>
      </c>
      <c r="AA135" t="s">
        <v>757</v>
      </c>
    </row>
    <row r="136" spans="1:27" x14ac:dyDescent="0.2">
      <c r="A136" t="s">
        <v>764</v>
      </c>
      <c r="B136" t="s">
        <v>350</v>
      </c>
      <c r="C136" t="s">
        <v>729</v>
      </c>
      <c r="D136">
        <v>10</v>
      </c>
      <c r="E136">
        <v>114145044</v>
      </c>
      <c r="F136" s="3">
        <v>6.9999999999999996E-10</v>
      </c>
      <c r="H136" s="9">
        <v>0.34799999999999998</v>
      </c>
      <c r="J136" t="s">
        <v>351</v>
      </c>
      <c r="K136" s="7">
        <v>0.06</v>
      </c>
      <c r="L136" t="s">
        <v>352</v>
      </c>
      <c r="M136" t="s">
        <v>272</v>
      </c>
      <c r="N136" t="s">
        <v>19</v>
      </c>
      <c r="O136" t="s">
        <v>20</v>
      </c>
      <c r="P136" t="s">
        <v>326</v>
      </c>
      <c r="Q136" s="2">
        <v>34873335</v>
      </c>
      <c r="R136" t="s">
        <v>772</v>
      </c>
      <c r="S136">
        <v>41.38</v>
      </c>
      <c r="T136">
        <v>138086</v>
      </c>
      <c r="U136">
        <v>27205</v>
      </c>
      <c r="V136">
        <v>110881</v>
      </c>
      <c r="W136">
        <v>1</v>
      </c>
      <c r="X136" t="s">
        <v>22</v>
      </c>
      <c r="Y136">
        <v>112385286</v>
      </c>
      <c r="Z136" t="s">
        <v>758</v>
      </c>
      <c r="AA136" t="s">
        <v>736</v>
      </c>
    </row>
    <row r="137" spans="1:27" x14ac:dyDescent="0.2">
      <c r="A137" t="s">
        <v>764</v>
      </c>
      <c r="B137" t="s">
        <v>340</v>
      </c>
      <c r="C137" t="s">
        <v>729</v>
      </c>
      <c r="D137">
        <v>9</v>
      </c>
      <c r="E137">
        <v>27563868</v>
      </c>
      <c r="F137" s="3">
        <v>1.0000000000000001E-43</v>
      </c>
      <c r="H137">
        <v>0.248</v>
      </c>
      <c r="J137" t="s">
        <v>353</v>
      </c>
      <c r="K137" s="7">
        <v>0.17399999999999999</v>
      </c>
      <c r="L137" t="s">
        <v>354</v>
      </c>
      <c r="M137" t="s">
        <v>16</v>
      </c>
      <c r="N137" t="s">
        <v>19</v>
      </c>
      <c r="O137" t="s">
        <v>20</v>
      </c>
      <c r="P137" t="s">
        <v>314</v>
      </c>
      <c r="Q137" s="2">
        <v>34873335</v>
      </c>
      <c r="R137" t="s">
        <v>772</v>
      </c>
      <c r="S137">
        <v>41.38</v>
      </c>
      <c r="T137">
        <v>138086</v>
      </c>
      <c r="U137">
        <v>27205</v>
      </c>
      <c r="V137">
        <v>110881</v>
      </c>
      <c r="W137">
        <v>2</v>
      </c>
      <c r="X137" t="s">
        <v>22</v>
      </c>
      <c r="Y137">
        <v>27563870</v>
      </c>
      <c r="Z137" t="s">
        <v>758</v>
      </c>
      <c r="AA137" t="s">
        <v>736</v>
      </c>
    </row>
    <row r="138" spans="1:27" x14ac:dyDescent="0.2">
      <c r="A138" t="s">
        <v>764</v>
      </c>
      <c r="B138" t="s">
        <v>35</v>
      </c>
      <c r="C138" t="s">
        <v>731</v>
      </c>
      <c r="D138">
        <v>19</v>
      </c>
      <c r="E138">
        <v>17752689</v>
      </c>
      <c r="F138" s="3">
        <v>9.0000000000000002E-25</v>
      </c>
      <c r="H138">
        <v>0.34699999999999998</v>
      </c>
      <c r="J138" t="s">
        <v>355</v>
      </c>
      <c r="K138" s="7">
        <v>0.125</v>
      </c>
      <c r="L138" t="s">
        <v>356</v>
      </c>
      <c r="M138" t="s">
        <v>36</v>
      </c>
      <c r="N138" t="s">
        <v>19</v>
      </c>
      <c r="O138" t="s">
        <v>20</v>
      </c>
      <c r="P138" t="s">
        <v>314</v>
      </c>
      <c r="Q138" s="2">
        <v>34873335</v>
      </c>
      <c r="R138" t="s">
        <v>772</v>
      </c>
      <c r="S138">
        <v>41.38</v>
      </c>
      <c r="T138">
        <v>138086</v>
      </c>
      <c r="U138">
        <v>27205</v>
      </c>
      <c r="V138">
        <v>110881</v>
      </c>
      <c r="W138">
        <v>9</v>
      </c>
      <c r="X138" t="s">
        <v>22</v>
      </c>
      <c r="Y138">
        <v>17641880</v>
      </c>
      <c r="Z138" t="s">
        <v>758</v>
      </c>
      <c r="AA138" t="s">
        <v>736</v>
      </c>
    </row>
    <row r="139" spans="1:27" x14ac:dyDescent="0.2">
      <c r="A139" t="s">
        <v>764</v>
      </c>
      <c r="B139" t="s">
        <v>357</v>
      </c>
      <c r="C139" t="s">
        <v>731</v>
      </c>
      <c r="D139">
        <v>21</v>
      </c>
      <c r="E139">
        <v>33039603</v>
      </c>
      <c r="F139" s="3">
        <v>4.0000000000000003E-18</v>
      </c>
      <c r="H139">
        <v>6.0000000000000001E-3</v>
      </c>
      <c r="J139" t="s">
        <v>358</v>
      </c>
      <c r="K139" s="7">
        <v>1.0780000000000001</v>
      </c>
      <c r="L139" t="s">
        <v>359</v>
      </c>
      <c r="M139" t="s">
        <v>360</v>
      </c>
      <c r="N139" t="s">
        <v>19</v>
      </c>
      <c r="O139" t="s">
        <v>20</v>
      </c>
      <c r="P139" t="s">
        <v>314</v>
      </c>
      <c r="Q139" s="2">
        <v>34873335</v>
      </c>
      <c r="R139" t="s">
        <v>772</v>
      </c>
      <c r="S139">
        <v>41.38</v>
      </c>
      <c r="T139">
        <v>138086</v>
      </c>
      <c r="U139">
        <v>27205</v>
      </c>
      <c r="V139">
        <v>110881</v>
      </c>
      <c r="W139">
        <v>1</v>
      </c>
      <c r="X139" t="s">
        <v>22</v>
      </c>
      <c r="Y139">
        <v>31667290</v>
      </c>
      <c r="Z139" t="s">
        <v>758</v>
      </c>
      <c r="AA139" t="s">
        <v>736</v>
      </c>
    </row>
    <row r="140" spans="1:27" x14ac:dyDescent="0.2">
      <c r="A140" t="s">
        <v>764</v>
      </c>
      <c r="B140" t="s">
        <v>361</v>
      </c>
      <c r="C140" t="s">
        <v>729</v>
      </c>
      <c r="D140">
        <v>14</v>
      </c>
      <c r="E140">
        <v>31045596</v>
      </c>
      <c r="F140" s="3">
        <v>8.9999999999999995E-15</v>
      </c>
      <c r="H140">
        <v>0.33700000000000002</v>
      </c>
      <c r="I140" s="7">
        <f>EXP(0.091)</f>
        <v>1.0952690052584655</v>
      </c>
      <c r="J140" t="s">
        <v>362</v>
      </c>
      <c r="K140" s="7">
        <v>9.0999999999999998E-2</v>
      </c>
      <c r="L140" t="s">
        <v>363</v>
      </c>
      <c r="M140" t="s">
        <v>364</v>
      </c>
      <c r="N140" t="s">
        <v>19</v>
      </c>
      <c r="O140" t="s">
        <v>20</v>
      </c>
      <c r="P140" t="s">
        <v>314</v>
      </c>
      <c r="Q140" s="2">
        <v>34873335</v>
      </c>
      <c r="R140" t="s">
        <v>772</v>
      </c>
      <c r="S140">
        <v>41.38</v>
      </c>
      <c r="T140">
        <v>138086</v>
      </c>
      <c r="U140">
        <v>27205</v>
      </c>
      <c r="V140">
        <v>110881</v>
      </c>
      <c r="W140">
        <v>1</v>
      </c>
      <c r="X140" t="s">
        <v>22</v>
      </c>
      <c r="Y140">
        <v>30576390</v>
      </c>
      <c r="Z140" t="s">
        <v>758</v>
      </c>
      <c r="AA140" t="s">
        <v>757</v>
      </c>
    </row>
    <row r="141" spans="1:27" x14ac:dyDescent="0.2">
      <c r="A141" t="s">
        <v>764</v>
      </c>
      <c r="B141" t="s">
        <v>365</v>
      </c>
      <c r="C141" t="s">
        <v>729</v>
      </c>
      <c r="D141">
        <v>14</v>
      </c>
      <c r="E141">
        <v>31045181</v>
      </c>
      <c r="F141" s="3">
        <v>8.9999999999999995E-15</v>
      </c>
      <c r="H141">
        <v>0.33700000000000002</v>
      </c>
      <c r="I141" s="7">
        <f>EXP(0.091)</f>
        <v>1.0952690052584655</v>
      </c>
      <c r="J141" t="s">
        <v>362</v>
      </c>
      <c r="K141" s="7">
        <v>9.0999999999999998E-2</v>
      </c>
      <c r="L141" t="s">
        <v>363</v>
      </c>
      <c r="M141" t="s">
        <v>364</v>
      </c>
      <c r="N141" t="s">
        <v>19</v>
      </c>
      <c r="O141" t="s">
        <v>20</v>
      </c>
      <c r="P141" t="s">
        <v>314</v>
      </c>
      <c r="Q141" s="2">
        <v>34873335</v>
      </c>
      <c r="R141" t="s">
        <v>772</v>
      </c>
      <c r="S141">
        <v>41.38</v>
      </c>
      <c r="T141">
        <v>138086</v>
      </c>
      <c r="U141">
        <v>27205</v>
      </c>
      <c r="V141">
        <v>110881</v>
      </c>
      <c r="W141">
        <v>1</v>
      </c>
      <c r="X141" t="s">
        <v>22</v>
      </c>
      <c r="Y141">
        <v>30575975</v>
      </c>
      <c r="Z141" t="s">
        <v>758</v>
      </c>
      <c r="AA141" t="s">
        <v>757</v>
      </c>
    </row>
    <row r="142" spans="1:27" x14ac:dyDescent="0.2">
      <c r="A142" t="s">
        <v>764</v>
      </c>
      <c r="B142" t="s">
        <v>323</v>
      </c>
      <c r="C142" t="s">
        <v>730</v>
      </c>
      <c r="D142">
        <v>3</v>
      </c>
      <c r="E142">
        <v>39508968</v>
      </c>
      <c r="F142" s="3">
        <v>5.0000000000000002E-11</v>
      </c>
      <c r="H142">
        <v>0.29099999999999998</v>
      </c>
      <c r="J142" t="s">
        <v>366</v>
      </c>
      <c r="K142" s="7">
        <v>7.9000000000000001E-2</v>
      </c>
      <c r="L142" t="s">
        <v>367</v>
      </c>
      <c r="M142" t="s">
        <v>25</v>
      </c>
      <c r="N142" t="s">
        <v>19</v>
      </c>
      <c r="O142" t="s">
        <v>20</v>
      </c>
      <c r="P142" t="s">
        <v>314</v>
      </c>
      <c r="Q142" s="2">
        <v>34873335</v>
      </c>
      <c r="R142" t="s">
        <v>772</v>
      </c>
      <c r="S142">
        <v>41.38</v>
      </c>
      <c r="T142">
        <v>138086</v>
      </c>
      <c r="U142">
        <v>27205</v>
      </c>
      <c r="V142">
        <v>110881</v>
      </c>
      <c r="W142">
        <v>2</v>
      </c>
      <c r="X142" t="s">
        <v>22</v>
      </c>
      <c r="Y142">
        <v>39467477</v>
      </c>
      <c r="Z142" t="s">
        <v>758</v>
      </c>
      <c r="AA142" t="s">
        <v>736</v>
      </c>
    </row>
    <row r="143" spans="1:27" x14ac:dyDescent="0.2">
      <c r="A143" t="s">
        <v>764</v>
      </c>
      <c r="B143" t="s">
        <v>334</v>
      </c>
      <c r="C143" t="s">
        <v>731</v>
      </c>
      <c r="D143">
        <v>6</v>
      </c>
      <c r="E143">
        <v>32672641</v>
      </c>
      <c r="F143" s="3">
        <v>6.0000000000000003E-12</v>
      </c>
      <c r="H143">
        <v>9.6000000000000002E-2</v>
      </c>
      <c r="J143" t="s">
        <v>368</v>
      </c>
      <c r="K143" s="7">
        <v>-0.14299999999999999</v>
      </c>
      <c r="L143" t="s">
        <v>336</v>
      </c>
      <c r="M143" t="s">
        <v>337</v>
      </c>
      <c r="N143" t="s">
        <v>19</v>
      </c>
      <c r="O143" t="s">
        <v>20</v>
      </c>
      <c r="P143" t="s">
        <v>314</v>
      </c>
      <c r="Q143" s="2">
        <v>34873335</v>
      </c>
      <c r="R143" t="s">
        <v>772</v>
      </c>
      <c r="S143">
        <v>41.38</v>
      </c>
      <c r="T143">
        <v>138086</v>
      </c>
      <c r="U143">
        <v>27205</v>
      </c>
      <c r="V143">
        <v>110881</v>
      </c>
      <c r="W143">
        <v>2</v>
      </c>
      <c r="X143" t="s">
        <v>22</v>
      </c>
      <c r="Y143">
        <v>32704864</v>
      </c>
      <c r="Z143" t="s">
        <v>758</v>
      </c>
      <c r="AA143" t="s">
        <v>736</v>
      </c>
    </row>
    <row r="144" spans="1:27" x14ac:dyDescent="0.2">
      <c r="A144" t="s">
        <v>764</v>
      </c>
      <c r="B144" t="s">
        <v>299</v>
      </c>
      <c r="C144" t="s">
        <v>732</v>
      </c>
      <c r="D144">
        <v>12</v>
      </c>
      <c r="E144">
        <v>57975700</v>
      </c>
      <c r="F144" s="3">
        <v>9.9999999999999994E-12</v>
      </c>
      <c r="H144">
        <v>1.6E-2</v>
      </c>
      <c r="J144" t="s">
        <v>369</v>
      </c>
      <c r="K144" s="7">
        <v>0.33200000000000002</v>
      </c>
      <c r="L144" t="s">
        <v>370</v>
      </c>
      <c r="M144" t="s">
        <v>301</v>
      </c>
      <c r="N144" t="s">
        <v>19</v>
      </c>
      <c r="O144" t="s">
        <v>20</v>
      </c>
      <c r="P144" t="s">
        <v>314</v>
      </c>
      <c r="Q144" s="2">
        <v>34873335</v>
      </c>
      <c r="R144" t="s">
        <v>772</v>
      </c>
      <c r="S144">
        <v>41.38</v>
      </c>
      <c r="T144">
        <v>138086</v>
      </c>
      <c r="U144">
        <v>27205</v>
      </c>
      <c r="V144">
        <v>110881</v>
      </c>
      <c r="W144">
        <v>2</v>
      </c>
      <c r="X144" t="s">
        <v>22</v>
      </c>
      <c r="Y144">
        <v>57581917</v>
      </c>
      <c r="Z144" t="s">
        <v>758</v>
      </c>
      <c r="AA144" t="s">
        <v>736</v>
      </c>
    </row>
    <row r="145" spans="1:27" x14ac:dyDescent="0.2">
      <c r="A145" t="s">
        <v>764</v>
      </c>
      <c r="B145" t="s">
        <v>15</v>
      </c>
      <c r="C145" t="s">
        <v>729</v>
      </c>
      <c r="D145">
        <v>21</v>
      </c>
      <c r="E145">
        <v>45753117</v>
      </c>
      <c r="F145" s="3">
        <v>3E-11</v>
      </c>
      <c r="H145">
        <v>1.2E-2</v>
      </c>
      <c r="J145" t="s">
        <v>371</v>
      </c>
      <c r="K145" s="7">
        <v>0.41799999999999998</v>
      </c>
      <c r="L145" t="s">
        <v>372</v>
      </c>
      <c r="M145" t="s">
        <v>18</v>
      </c>
      <c r="N145" t="s">
        <v>19</v>
      </c>
      <c r="O145" t="s">
        <v>20</v>
      </c>
      <c r="P145" t="s">
        <v>314</v>
      </c>
      <c r="Q145" s="2">
        <v>34873335</v>
      </c>
      <c r="R145" t="s">
        <v>772</v>
      </c>
      <c r="S145">
        <v>41.38</v>
      </c>
      <c r="T145">
        <v>138086</v>
      </c>
      <c r="U145">
        <v>27205</v>
      </c>
      <c r="V145">
        <v>110881</v>
      </c>
      <c r="W145">
        <v>3</v>
      </c>
      <c r="X145" t="s">
        <v>22</v>
      </c>
      <c r="Y145">
        <v>44333234</v>
      </c>
      <c r="Z145" t="s">
        <v>758</v>
      </c>
      <c r="AA145" t="s">
        <v>736</v>
      </c>
    </row>
    <row r="146" spans="1:27" x14ac:dyDescent="0.2">
      <c r="A146" t="s">
        <v>764</v>
      </c>
      <c r="B146" t="s">
        <v>288</v>
      </c>
      <c r="C146" t="s">
        <v>731</v>
      </c>
      <c r="D146">
        <v>5</v>
      </c>
      <c r="E146">
        <v>150410835</v>
      </c>
      <c r="F146" s="3">
        <v>4.0000000000000001E-10</v>
      </c>
      <c r="H146">
        <v>0.253</v>
      </c>
      <c r="J146" t="s">
        <v>366</v>
      </c>
      <c r="K146" s="7">
        <v>7.9000000000000001E-2</v>
      </c>
      <c r="L146" t="s">
        <v>373</v>
      </c>
      <c r="M146" t="s">
        <v>291</v>
      </c>
      <c r="N146" t="s">
        <v>19</v>
      </c>
      <c r="O146" t="s">
        <v>20</v>
      </c>
      <c r="P146" t="s">
        <v>314</v>
      </c>
      <c r="Q146" s="2">
        <v>34873335</v>
      </c>
      <c r="R146" t="s">
        <v>772</v>
      </c>
      <c r="S146">
        <v>41.38</v>
      </c>
      <c r="T146">
        <v>138086</v>
      </c>
      <c r="U146">
        <v>27205</v>
      </c>
      <c r="V146">
        <v>110881</v>
      </c>
      <c r="W146">
        <v>3</v>
      </c>
      <c r="X146" t="s">
        <v>22</v>
      </c>
      <c r="Y146">
        <v>151031274</v>
      </c>
      <c r="Z146" t="s">
        <v>758</v>
      </c>
      <c r="AA146" t="s">
        <v>736</v>
      </c>
    </row>
    <row r="147" spans="1:27" x14ac:dyDescent="0.2">
      <c r="A147" t="s">
        <v>764</v>
      </c>
      <c r="B147" t="s">
        <v>348</v>
      </c>
      <c r="C147" t="s">
        <v>729</v>
      </c>
      <c r="D147">
        <v>20</v>
      </c>
      <c r="E147">
        <v>48438761</v>
      </c>
      <c r="F147" s="3">
        <v>4.0000000000000001E-10</v>
      </c>
      <c r="H147">
        <v>0.35299999999999998</v>
      </c>
      <c r="J147" t="s">
        <v>374</v>
      </c>
      <c r="K147" s="7">
        <v>7.3999999999999996E-2</v>
      </c>
      <c r="L147" t="s">
        <v>375</v>
      </c>
      <c r="M147" t="s">
        <v>349</v>
      </c>
      <c r="N147" t="s">
        <v>19</v>
      </c>
      <c r="O147" t="s">
        <v>20</v>
      </c>
      <c r="P147" t="s">
        <v>314</v>
      </c>
      <c r="Q147" s="2">
        <v>34873335</v>
      </c>
      <c r="R147" t="s">
        <v>772</v>
      </c>
      <c r="S147">
        <v>41.38</v>
      </c>
      <c r="T147">
        <v>138086</v>
      </c>
      <c r="U147">
        <v>27205</v>
      </c>
      <c r="V147">
        <v>110881</v>
      </c>
      <c r="W147">
        <v>2</v>
      </c>
      <c r="X147" t="s">
        <v>22</v>
      </c>
      <c r="Y147">
        <v>49822224</v>
      </c>
      <c r="Z147" t="s">
        <v>758</v>
      </c>
      <c r="AA147" t="s">
        <v>736</v>
      </c>
    </row>
    <row r="148" spans="1:27" x14ac:dyDescent="0.2">
      <c r="A148" t="s">
        <v>764</v>
      </c>
      <c r="B148" t="s">
        <v>343</v>
      </c>
      <c r="C148" t="s">
        <v>729</v>
      </c>
      <c r="D148">
        <v>12</v>
      </c>
      <c r="E148">
        <v>64877053</v>
      </c>
      <c r="F148" s="3">
        <v>2E-8</v>
      </c>
      <c r="H148">
        <v>0.112</v>
      </c>
      <c r="J148" t="s">
        <v>376</v>
      </c>
      <c r="K148" s="7">
        <v>-9.8000000000000004E-2</v>
      </c>
      <c r="L148" t="s">
        <v>377</v>
      </c>
      <c r="M148" t="s">
        <v>32</v>
      </c>
      <c r="N148" t="s">
        <v>19</v>
      </c>
      <c r="O148" t="s">
        <v>20</v>
      </c>
      <c r="P148" t="s">
        <v>314</v>
      </c>
      <c r="Q148" s="2">
        <v>34873335</v>
      </c>
      <c r="R148" t="s">
        <v>772</v>
      </c>
      <c r="S148">
        <v>41.38</v>
      </c>
      <c r="T148">
        <v>138086</v>
      </c>
      <c r="U148">
        <v>27205</v>
      </c>
      <c r="V148">
        <v>110881</v>
      </c>
      <c r="W148">
        <v>2</v>
      </c>
      <c r="X148" t="s">
        <v>22</v>
      </c>
      <c r="Y148">
        <v>64483273</v>
      </c>
      <c r="Z148" t="s">
        <v>758</v>
      </c>
      <c r="AA148" t="s">
        <v>736</v>
      </c>
    </row>
    <row r="149" spans="1:27" x14ac:dyDescent="0.2">
      <c r="A149" t="s">
        <v>764</v>
      </c>
      <c r="B149" t="s">
        <v>330</v>
      </c>
      <c r="C149" t="s">
        <v>731</v>
      </c>
      <c r="D149">
        <v>5</v>
      </c>
      <c r="E149">
        <v>172354731</v>
      </c>
      <c r="F149" s="3">
        <v>8.9999999999999995E-9</v>
      </c>
      <c r="H149">
        <v>0.39700000000000002</v>
      </c>
      <c r="J149" t="s">
        <v>378</v>
      </c>
      <c r="K149" s="7">
        <v>-6.5000000000000002E-2</v>
      </c>
      <c r="L149" t="s">
        <v>379</v>
      </c>
      <c r="M149" t="s">
        <v>333</v>
      </c>
      <c r="N149" t="s">
        <v>19</v>
      </c>
      <c r="O149" t="s">
        <v>20</v>
      </c>
      <c r="P149" t="s">
        <v>314</v>
      </c>
      <c r="Q149" s="2">
        <v>34873335</v>
      </c>
      <c r="R149" t="s">
        <v>772</v>
      </c>
      <c r="S149">
        <v>41.38</v>
      </c>
      <c r="T149">
        <v>138086</v>
      </c>
      <c r="U149">
        <v>27205</v>
      </c>
      <c r="V149">
        <v>110881</v>
      </c>
      <c r="W149">
        <v>2</v>
      </c>
      <c r="X149" t="s">
        <v>22</v>
      </c>
      <c r="Y149">
        <v>172927728</v>
      </c>
      <c r="Z149" t="s">
        <v>758</v>
      </c>
      <c r="AA149" t="s">
        <v>736</v>
      </c>
    </row>
    <row r="150" spans="1:27" x14ac:dyDescent="0.2">
      <c r="A150" t="s">
        <v>764</v>
      </c>
      <c r="B150" t="s">
        <v>35</v>
      </c>
      <c r="D150">
        <v>19</v>
      </c>
      <c r="E150">
        <v>17752689</v>
      </c>
      <c r="F150" s="3">
        <v>3E-10</v>
      </c>
      <c r="H150" s="9">
        <v>0.35</v>
      </c>
      <c r="J150" t="s">
        <v>380</v>
      </c>
      <c r="K150" s="7">
        <v>-2.1499999999999998E-2</v>
      </c>
      <c r="L150" t="s">
        <v>381</v>
      </c>
      <c r="M150" t="s">
        <v>36</v>
      </c>
      <c r="N150" t="s">
        <v>382</v>
      </c>
      <c r="O150" t="s">
        <v>383</v>
      </c>
      <c r="P150" t="s">
        <v>384</v>
      </c>
      <c r="Q150">
        <v>28931804</v>
      </c>
      <c r="R150" t="s">
        <v>785</v>
      </c>
      <c r="S150">
        <v>17.690000000000001</v>
      </c>
      <c r="T150">
        <v>40136</v>
      </c>
      <c r="U150">
        <v>13811</v>
      </c>
      <c r="V150">
        <v>26325</v>
      </c>
      <c r="W150">
        <v>9</v>
      </c>
      <c r="X150" t="s">
        <v>385</v>
      </c>
      <c r="Y150">
        <v>17641880</v>
      </c>
      <c r="Z150" t="s">
        <v>761</v>
      </c>
      <c r="AA150" t="s">
        <v>748</v>
      </c>
    </row>
    <row r="151" spans="1:27" x14ac:dyDescent="0.2">
      <c r="A151" t="s">
        <v>764</v>
      </c>
      <c r="B151" t="s">
        <v>33</v>
      </c>
      <c r="D151">
        <v>9</v>
      </c>
      <c r="E151">
        <v>27543382</v>
      </c>
      <c r="F151" s="3">
        <v>3E-23</v>
      </c>
      <c r="J151" t="s">
        <v>386</v>
      </c>
      <c r="K151" s="7">
        <v>3.8800000000000001E-2</v>
      </c>
      <c r="L151" t="s">
        <v>387</v>
      </c>
      <c r="M151" t="s">
        <v>34</v>
      </c>
      <c r="N151" t="s">
        <v>382</v>
      </c>
      <c r="O151" t="s">
        <v>383</v>
      </c>
      <c r="P151" t="s">
        <v>384</v>
      </c>
      <c r="Q151">
        <v>28931804</v>
      </c>
      <c r="R151" t="s">
        <v>785</v>
      </c>
      <c r="S151">
        <v>17.690000000000001</v>
      </c>
      <c r="T151">
        <v>40136</v>
      </c>
      <c r="U151">
        <v>13811</v>
      </c>
      <c r="V151">
        <v>26325</v>
      </c>
      <c r="W151">
        <v>4</v>
      </c>
      <c r="X151" t="s">
        <v>385</v>
      </c>
      <c r="Y151">
        <v>27543384</v>
      </c>
      <c r="Z151" t="s">
        <v>761</v>
      </c>
      <c r="AA151" t="s">
        <v>748</v>
      </c>
    </row>
    <row r="152" spans="1:27" x14ac:dyDescent="0.2">
      <c r="A152" t="s">
        <v>764</v>
      </c>
      <c r="B152" t="s">
        <v>37</v>
      </c>
      <c r="D152">
        <v>17</v>
      </c>
      <c r="E152">
        <v>26719788</v>
      </c>
      <c r="F152" s="3">
        <v>3E-10</v>
      </c>
      <c r="H152" s="9">
        <v>0.82</v>
      </c>
      <c r="J152" t="s">
        <v>388</v>
      </c>
      <c r="K152" s="7">
        <v>2.81E-2</v>
      </c>
      <c r="L152" t="s">
        <v>389</v>
      </c>
      <c r="M152" t="s">
        <v>38</v>
      </c>
      <c r="N152" t="s">
        <v>382</v>
      </c>
      <c r="O152" t="s">
        <v>383</v>
      </c>
      <c r="P152" t="s">
        <v>384</v>
      </c>
      <c r="Q152">
        <v>28931804</v>
      </c>
      <c r="R152" t="s">
        <v>785</v>
      </c>
      <c r="S152">
        <v>17.690000000000001</v>
      </c>
      <c r="T152">
        <v>40136</v>
      </c>
      <c r="U152">
        <v>13811</v>
      </c>
      <c r="V152">
        <v>26325</v>
      </c>
      <c r="W152">
        <v>2</v>
      </c>
      <c r="X152" t="s">
        <v>385</v>
      </c>
      <c r="Y152">
        <v>28392769</v>
      </c>
      <c r="Z152" t="s">
        <v>761</v>
      </c>
      <c r="AA152" t="s">
        <v>748</v>
      </c>
    </row>
    <row r="153" spans="1:27" x14ac:dyDescent="0.2">
      <c r="A153" t="s">
        <v>764</v>
      </c>
      <c r="B153" t="s">
        <v>23</v>
      </c>
      <c r="D153">
        <v>3</v>
      </c>
      <c r="E153">
        <v>39534481</v>
      </c>
      <c r="F153" s="3">
        <v>2E-8</v>
      </c>
      <c r="H153" s="9">
        <v>0.28000000000000003</v>
      </c>
      <c r="J153" t="s">
        <v>390</v>
      </c>
      <c r="K153" s="7">
        <v>0.02</v>
      </c>
      <c r="L153" t="s">
        <v>391</v>
      </c>
      <c r="M153" t="s">
        <v>25</v>
      </c>
      <c r="N153" t="s">
        <v>382</v>
      </c>
      <c r="O153" t="s">
        <v>383</v>
      </c>
      <c r="P153" t="s">
        <v>384</v>
      </c>
      <c r="Q153">
        <v>28931804</v>
      </c>
      <c r="R153" t="s">
        <v>785</v>
      </c>
      <c r="S153">
        <v>17.690000000000001</v>
      </c>
      <c r="T153">
        <v>40136</v>
      </c>
      <c r="U153">
        <v>13811</v>
      </c>
      <c r="V153">
        <v>26325</v>
      </c>
      <c r="W153">
        <v>2</v>
      </c>
      <c r="X153" t="s">
        <v>385</v>
      </c>
      <c r="Y153">
        <v>39492990</v>
      </c>
      <c r="Z153" t="s">
        <v>761</v>
      </c>
      <c r="AA153" t="s">
        <v>748</v>
      </c>
    </row>
    <row r="154" spans="1:27" x14ac:dyDescent="0.2">
      <c r="A154" t="s">
        <v>764</v>
      </c>
      <c r="B154" t="s">
        <v>35</v>
      </c>
      <c r="D154">
        <v>19</v>
      </c>
      <c r="E154">
        <v>17752689</v>
      </c>
      <c r="F154" s="3">
        <v>6.0000000000000002E-6</v>
      </c>
      <c r="H154">
        <v>0.33500000000000002</v>
      </c>
      <c r="J154" t="s">
        <v>16</v>
      </c>
      <c r="L154" t="s">
        <v>16</v>
      </c>
      <c r="M154" t="s">
        <v>36</v>
      </c>
      <c r="N154" t="s">
        <v>382</v>
      </c>
      <c r="O154" t="s">
        <v>383</v>
      </c>
      <c r="P154" t="s">
        <v>392</v>
      </c>
      <c r="Q154">
        <v>24256812</v>
      </c>
      <c r="R154" t="s">
        <v>778</v>
      </c>
      <c r="S154">
        <v>6.15</v>
      </c>
      <c r="T154">
        <v>13225</v>
      </c>
      <c r="U154">
        <v>6100</v>
      </c>
      <c r="V154">
        <v>7125</v>
      </c>
      <c r="W154">
        <v>9</v>
      </c>
      <c r="X154" t="s">
        <v>393</v>
      </c>
      <c r="Y154">
        <v>17641880</v>
      </c>
      <c r="Z154" t="s">
        <v>758</v>
      </c>
    </row>
    <row r="155" spans="1:27" x14ac:dyDescent="0.2">
      <c r="A155" t="s">
        <v>764</v>
      </c>
      <c r="B155" t="s">
        <v>39</v>
      </c>
      <c r="D155">
        <v>9</v>
      </c>
      <c r="E155">
        <v>27543281</v>
      </c>
      <c r="F155" s="3">
        <v>1E-8</v>
      </c>
      <c r="H155">
        <v>0.23699999999999999</v>
      </c>
      <c r="J155" t="s">
        <v>16</v>
      </c>
      <c r="L155" t="s">
        <v>16</v>
      </c>
      <c r="M155" t="s">
        <v>34</v>
      </c>
      <c r="N155" t="s">
        <v>382</v>
      </c>
      <c r="O155" t="s">
        <v>383</v>
      </c>
      <c r="P155" t="s">
        <v>392</v>
      </c>
      <c r="Q155">
        <v>24256812</v>
      </c>
      <c r="R155" t="s">
        <v>778</v>
      </c>
      <c r="S155">
        <v>6.15</v>
      </c>
      <c r="T155">
        <v>13225</v>
      </c>
      <c r="U155">
        <v>6100</v>
      </c>
      <c r="V155">
        <v>7125</v>
      </c>
      <c r="W155">
        <v>7</v>
      </c>
      <c r="X155" t="s">
        <v>393</v>
      </c>
      <c r="Y155">
        <v>27543283</v>
      </c>
      <c r="Z155" t="s">
        <v>758</v>
      </c>
      <c r="AA155" t="s">
        <v>737</v>
      </c>
    </row>
    <row r="156" spans="1:27" x14ac:dyDescent="0.2">
      <c r="A156" t="s">
        <v>764</v>
      </c>
      <c r="B156" t="s">
        <v>394</v>
      </c>
      <c r="C156" t="s">
        <v>732</v>
      </c>
      <c r="D156">
        <v>17</v>
      </c>
      <c r="E156">
        <v>26610252</v>
      </c>
      <c r="F156" s="3">
        <v>8.9999999999999995E-9</v>
      </c>
      <c r="H156" s="9">
        <v>0.1244</v>
      </c>
      <c r="I156" s="7">
        <v>1.2</v>
      </c>
      <c r="J156" t="s">
        <v>16</v>
      </c>
      <c r="K156" s="7">
        <f>LN(I156)</f>
        <v>0.18232155679395459</v>
      </c>
      <c r="L156" t="s">
        <v>395</v>
      </c>
      <c r="M156" t="s">
        <v>396</v>
      </c>
      <c r="N156" t="s">
        <v>382</v>
      </c>
      <c r="O156" t="s">
        <v>383</v>
      </c>
      <c r="P156" t="s">
        <v>392</v>
      </c>
      <c r="Q156">
        <v>24256812</v>
      </c>
      <c r="R156" t="s">
        <v>778</v>
      </c>
      <c r="S156">
        <v>6.15</v>
      </c>
      <c r="T156">
        <v>13225</v>
      </c>
      <c r="U156">
        <v>6100</v>
      </c>
      <c r="V156">
        <v>7125</v>
      </c>
      <c r="W156">
        <v>1</v>
      </c>
      <c r="X156" t="s">
        <v>393</v>
      </c>
      <c r="Y156">
        <v>28283226</v>
      </c>
      <c r="Z156" t="s">
        <v>758</v>
      </c>
      <c r="AA156" t="s">
        <v>737</v>
      </c>
    </row>
    <row r="157" spans="1:27" x14ac:dyDescent="0.2">
      <c r="A157" t="s">
        <v>764</v>
      </c>
      <c r="B157" t="s">
        <v>397</v>
      </c>
      <c r="C157" t="s">
        <v>729</v>
      </c>
      <c r="D157">
        <v>18</v>
      </c>
      <c r="E157">
        <v>21244037</v>
      </c>
      <c r="F157" s="3">
        <v>7.9999999999999996E-6</v>
      </c>
      <c r="H157" s="9">
        <v>0.62190000000000001</v>
      </c>
      <c r="I157" s="7">
        <v>1.1100000000000001</v>
      </c>
      <c r="J157" t="s">
        <v>16</v>
      </c>
      <c r="K157" s="7">
        <f>LN(I157)</f>
        <v>0.10436001532424286</v>
      </c>
      <c r="L157" t="s">
        <v>398</v>
      </c>
      <c r="M157" t="s">
        <v>399</v>
      </c>
      <c r="N157" t="s">
        <v>382</v>
      </c>
      <c r="O157" t="s">
        <v>383</v>
      </c>
      <c r="P157" t="s">
        <v>392</v>
      </c>
      <c r="Q157">
        <v>24256812</v>
      </c>
      <c r="R157" t="s">
        <v>778</v>
      </c>
      <c r="S157">
        <v>6.15</v>
      </c>
      <c r="T157">
        <v>13225</v>
      </c>
      <c r="U157">
        <v>6100</v>
      </c>
      <c r="V157">
        <v>7125</v>
      </c>
      <c r="W157">
        <v>1</v>
      </c>
      <c r="X157" t="s">
        <v>393</v>
      </c>
      <c r="Y157">
        <v>23664073</v>
      </c>
      <c r="Z157" t="s">
        <v>758</v>
      </c>
    </row>
    <row r="158" spans="1:27" x14ac:dyDescent="0.2">
      <c r="A158" t="s">
        <v>764</v>
      </c>
      <c r="B158" t="s">
        <v>400</v>
      </c>
      <c r="D158" s="4">
        <v>13</v>
      </c>
      <c r="E158" s="4">
        <v>57586738</v>
      </c>
      <c r="F158" s="3">
        <v>5.0000000000000004E-6</v>
      </c>
      <c r="J158" t="s">
        <v>16</v>
      </c>
      <c r="L158" t="s">
        <v>16</v>
      </c>
      <c r="M158" t="s">
        <v>16</v>
      </c>
      <c r="N158" t="s">
        <v>382</v>
      </c>
      <c r="O158" t="s">
        <v>383</v>
      </c>
      <c r="P158" t="s">
        <v>401</v>
      </c>
      <c r="Q158">
        <v>24529757</v>
      </c>
      <c r="R158" t="s">
        <v>775</v>
      </c>
      <c r="S158">
        <v>5.133</v>
      </c>
      <c r="T158">
        <v>500</v>
      </c>
      <c r="U158">
        <v>250</v>
      </c>
      <c r="V158">
        <v>250</v>
      </c>
      <c r="W158">
        <v>1</v>
      </c>
      <c r="X158" t="s">
        <v>402</v>
      </c>
      <c r="Z158" t="s">
        <v>760</v>
      </c>
    </row>
    <row r="159" spans="1:27" x14ac:dyDescent="0.2">
      <c r="A159" t="s">
        <v>764</v>
      </c>
      <c r="B159" t="s">
        <v>403</v>
      </c>
      <c r="D159">
        <v>13</v>
      </c>
      <c r="E159">
        <v>72048096</v>
      </c>
      <c r="F159" s="3">
        <v>9.0000000000000002E-6</v>
      </c>
      <c r="J159" t="s">
        <v>16</v>
      </c>
      <c r="L159" t="s">
        <v>16</v>
      </c>
      <c r="M159" t="s">
        <v>404</v>
      </c>
      <c r="N159" t="s">
        <v>382</v>
      </c>
      <c r="O159" t="s">
        <v>383</v>
      </c>
      <c r="P159" t="s">
        <v>401</v>
      </c>
      <c r="Q159">
        <v>24529757</v>
      </c>
      <c r="R159" t="s">
        <v>775</v>
      </c>
      <c r="S159">
        <v>5.133</v>
      </c>
      <c r="T159">
        <v>500</v>
      </c>
      <c r="U159">
        <v>250</v>
      </c>
      <c r="V159">
        <v>250</v>
      </c>
      <c r="W159">
        <v>1</v>
      </c>
      <c r="X159" t="s">
        <v>402</v>
      </c>
      <c r="Y159">
        <v>71473964</v>
      </c>
      <c r="Z159" t="s">
        <v>760</v>
      </c>
    </row>
    <row r="160" spans="1:27" x14ac:dyDescent="0.2">
      <c r="A160" t="s">
        <v>764</v>
      </c>
      <c r="B160" t="s">
        <v>405</v>
      </c>
      <c r="D160">
        <v>1</v>
      </c>
      <c r="E160">
        <v>38994115</v>
      </c>
      <c r="F160" s="3">
        <v>1.9999999999999999E-7</v>
      </c>
      <c r="J160" t="s">
        <v>16</v>
      </c>
      <c r="L160" t="s">
        <v>16</v>
      </c>
      <c r="M160" t="s">
        <v>406</v>
      </c>
      <c r="N160" t="s">
        <v>382</v>
      </c>
      <c r="O160" t="s">
        <v>383</v>
      </c>
      <c r="P160" t="s">
        <v>401</v>
      </c>
      <c r="Q160">
        <v>24529757</v>
      </c>
      <c r="R160" t="s">
        <v>775</v>
      </c>
      <c r="S160">
        <v>5.133</v>
      </c>
      <c r="T160">
        <v>500</v>
      </c>
      <c r="U160">
        <v>250</v>
      </c>
      <c r="V160">
        <v>250</v>
      </c>
      <c r="W160">
        <v>1</v>
      </c>
      <c r="X160" t="s">
        <v>402</v>
      </c>
      <c r="Y160">
        <v>38528443</v>
      </c>
      <c r="Z160" t="s">
        <v>760</v>
      </c>
    </row>
    <row r="161" spans="1:26" x14ac:dyDescent="0.2">
      <c r="A161" t="s">
        <v>764</v>
      </c>
      <c r="B161" t="s">
        <v>407</v>
      </c>
      <c r="D161">
        <v>2</v>
      </c>
      <c r="E161">
        <v>176981343</v>
      </c>
      <c r="F161" s="3">
        <v>9.9999999999999995E-7</v>
      </c>
      <c r="J161" t="s">
        <v>16</v>
      </c>
      <c r="L161" t="s">
        <v>16</v>
      </c>
      <c r="M161" t="s">
        <v>408</v>
      </c>
      <c r="N161" t="s">
        <v>382</v>
      </c>
      <c r="O161" t="s">
        <v>383</v>
      </c>
      <c r="P161" t="s">
        <v>401</v>
      </c>
      <c r="Q161">
        <v>24529757</v>
      </c>
      <c r="R161" t="s">
        <v>775</v>
      </c>
      <c r="S161">
        <v>5.133</v>
      </c>
      <c r="T161">
        <v>500</v>
      </c>
      <c r="U161">
        <v>250</v>
      </c>
      <c r="V161">
        <v>250</v>
      </c>
      <c r="W161">
        <v>1</v>
      </c>
      <c r="X161" t="s">
        <v>402</v>
      </c>
      <c r="Y161">
        <v>176116615</v>
      </c>
      <c r="Z161" t="s">
        <v>760</v>
      </c>
    </row>
    <row r="162" spans="1:26" x14ac:dyDescent="0.2">
      <c r="A162" t="s">
        <v>764</v>
      </c>
      <c r="B162" t="s">
        <v>409</v>
      </c>
      <c r="D162">
        <v>3</v>
      </c>
      <c r="E162">
        <v>138091701</v>
      </c>
      <c r="F162" s="3">
        <v>3.0000000000000001E-6</v>
      </c>
      <c r="J162" t="s">
        <v>16</v>
      </c>
      <c r="L162" t="s">
        <v>16</v>
      </c>
      <c r="M162" t="s">
        <v>410</v>
      </c>
      <c r="N162" t="s">
        <v>382</v>
      </c>
      <c r="O162" t="s">
        <v>383</v>
      </c>
      <c r="P162" t="s">
        <v>401</v>
      </c>
      <c r="Q162">
        <v>24529757</v>
      </c>
      <c r="R162" t="s">
        <v>775</v>
      </c>
      <c r="S162">
        <v>5.133</v>
      </c>
      <c r="T162">
        <v>500</v>
      </c>
      <c r="U162">
        <v>250</v>
      </c>
      <c r="V162">
        <v>250</v>
      </c>
      <c r="W162">
        <v>1</v>
      </c>
      <c r="X162" t="s">
        <v>402</v>
      </c>
      <c r="Y162">
        <v>138372859</v>
      </c>
      <c r="Z162" t="s">
        <v>760</v>
      </c>
    </row>
    <row r="163" spans="1:26" x14ac:dyDescent="0.2">
      <c r="A163" t="s">
        <v>764</v>
      </c>
      <c r="B163" t="s">
        <v>411</v>
      </c>
      <c r="D163" s="4">
        <v>5</v>
      </c>
      <c r="E163" s="4">
        <v>104309603</v>
      </c>
      <c r="F163" s="5">
        <v>8.1103999999999999E-7</v>
      </c>
      <c r="J163" t="s">
        <v>16</v>
      </c>
      <c r="L163" t="s">
        <v>16</v>
      </c>
      <c r="M163" t="s">
        <v>16</v>
      </c>
      <c r="N163" t="s">
        <v>382</v>
      </c>
      <c r="O163" t="s">
        <v>383</v>
      </c>
      <c r="P163" t="s">
        <v>401</v>
      </c>
      <c r="Q163">
        <v>24529757</v>
      </c>
      <c r="R163" t="s">
        <v>775</v>
      </c>
      <c r="S163">
        <v>5.133</v>
      </c>
      <c r="T163">
        <v>500</v>
      </c>
      <c r="U163">
        <v>250</v>
      </c>
      <c r="V163">
        <v>250</v>
      </c>
      <c r="W163">
        <v>1</v>
      </c>
      <c r="X163" t="s">
        <v>402</v>
      </c>
      <c r="Z163" t="s">
        <v>760</v>
      </c>
    </row>
    <row r="164" spans="1:26" x14ac:dyDescent="0.2">
      <c r="A164" t="s">
        <v>764</v>
      </c>
      <c r="B164" t="s">
        <v>412</v>
      </c>
      <c r="D164">
        <v>20</v>
      </c>
      <c r="E164">
        <v>34116307</v>
      </c>
      <c r="F164" s="3">
        <v>2.9999999999999999E-7</v>
      </c>
      <c r="J164" t="s">
        <v>16</v>
      </c>
      <c r="L164" t="s">
        <v>16</v>
      </c>
      <c r="M164" t="s">
        <v>16</v>
      </c>
      <c r="N164" t="s">
        <v>382</v>
      </c>
      <c r="O164" t="s">
        <v>383</v>
      </c>
      <c r="P164" t="s">
        <v>401</v>
      </c>
      <c r="Q164">
        <v>24529757</v>
      </c>
      <c r="R164" t="s">
        <v>775</v>
      </c>
      <c r="S164">
        <v>5.133</v>
      </c>
      <c r="T164">
        <v>500</v>
      </c>
      <c r="U164">
        <v>250</v>
      </c>
      <c r="V164">
        <v>250</v>
      </c>
      <c r="W164">
        <v>1</v>
      </c>
      <c r="X164" t="s">
        <v>402</v>
      </c>
      <c r="Z164" t="s">
        <v>760</v>
      </c>
    </row>
    <row r="165" spans="1:26" x14ac:dyDescent="0.2">
      <c r="A165" t="s">
        <v>764</v>
      </c>
      <c r="B165" t="s">
        <v>413</v>
      </c>
      <c r="D165">
        <v>21</v>
      </c>
      <c r="E165">
        <v>43650776</v>
      </c>
      <c r="F165" s="3">
        <v>4.9999999999999998E-7</v>
      </c>
      <c r="J165" t="s">
        <v>16</v>
      </c>
      <c r="L165" t="s">
        <v>16</v>
      </c>
      <c r="M165" t="s">
        <v>414</v>
      </c>
      <c r="N165" t="s">
        <v>382</v>
      </c>
      <c r="O165" t="s">
        <v>383</v>
      </c>
      <c r="P165" t="s">
        <v>401</v>
      </c>
      <c r="Q165">
        <v>24529757</v>
      </c>
      <c r="R165" t="s">
        <v>775</v>
      </c>
      <c r="S165">
        <v>5.133</v>
      </c>
      <c r="T165">
        <v>500</v>
      </c>
      <c r="U165">
        <v>250</v>
      </c>
      <c r="V165">
        <v>250</v>
      </c>
      <c r="W165">
        <v>1</v>
      </c>
      <c r="X165" t="s">
        <v>402</v>
      </c>
      <c r="Y165">
        <v>42230666</v>
      </c>
      <c r="Z165" t="s">
        <v>760</v>
      </c>
    </row>
    <row r="166" spans="1:26" x14ac:dyDescent="0.2">
      <c r="A166" t="s">
        <v>764</v>
      </c>
      <c r="B166" t="s">
        <v>415</v>
      </c>
      <c r="D166">
        <v>13</v>
      </c>
      <c r="E166">
        <v>86104089</v>
      </c>
      <c r="F166" s="3">
        <v>1.9999999999999999E-7</v>
      </c>
      <c r="J166" t="s">
        <v>16</v>
      </c>
      <c r="L166" t="s">
        <v>16</v>
      </c>
      <c r="M166" t="s">
        <v>416</v>
      </c>
      <c r="N166" t="s">
        <v>382</v>
      </c>
      <c r="O166" t="s">
        <v>383</v>
      </c>
      <c r="P166" t="s">
        <v>401</v>
      </c>
      <c r="Q166">
        <v>24529757</v>
      </c>
      <c r="R166" t="s">
        <v>775</v>
      </c>
      <c r="S166">
        <v>5.133</v>
      </c>
      <c r="T166">
        <v>500</v>
      </c>
      <c r="U166">
        <v>250</v>
      </c>
      <c r="V166">
        <v>250</v>
      </c>
      <c r="W166">
        <v>1</v>
      </c>
      <c r="X166" t="s">
        <v>402</v>
      </c>
      <c r="Y166">
        <v>85529954</v>
      </c>
      <c r="Z166" t="s">
        <v>760</v>
      </c>
    </row>
    <row r="167" spans="1:26" x14ac:dyDescent="0.2">
      <c r="A167" t="s">
        <v>764</v>
      </c>
      <c r="B167" t="s">
        <v>417</v>
      </c>
      <c r="D167">
        <v>13</v>
      </c>
      <c r="E167">
        <v>105228487</v>
      </c>
      <c r="F167" s="3">
        <v>6.0000000000000002E-6</v>
      </c>
      <c r="J167" t="s">
        <v>16</v>
      </c>
      <c r="L167" t="s">
        <v>16</v>
      </c>
      <c r="M167" t="s">
        <v>16</v>
      </c>
      <c r="N167" t="s">
        <v>382</v>
      </c>
      <c r="O167" t="s">
        <v>383</v>
      </c>
      <c r="P167" t="s">
        <v>401</v>
      </c>
      <c r="Q167">
        <v>24529757</v>
      </c>
      <c r="R167" t="s">
        <v>775</v>
      </c>
      <c r="S167">
        <v>5.133</v>
      </c>
      <c r="T167">
        <v>500</v>
      </c>
      <c r="U167">
        <v>250</v>
      </c>
      <c r="V167">
        <v>250</v>
      </c>
      <c r="W167">
        <v>1</v>
      </c>
      <c r="X167" t="s">
        <v>402</v>
      </c>
      <c r="Z167" t="s">
        <v>760</v>
      </c>
    </row>
    <row r="168" spans="1:26" x14ac:dyDescent="0.2">
      <c r="A168" t="s">
        <v>764</v>
      </c>
      <c r="B168" t="s">
        <v>418</v>
      </c>
      <c r="D168">
        <v>14</v>
      </c>
      <c r="E168">
        <v>68243075</v>
      </c>
      <c r="F168" s="3">
        <v>5.9999999999999997E-7</v>
      </c>
      <c r="J168" t="s">
        <v>16</v>
      </c>
      <c r="L168" t="s">
        <v>16</v>
      </c>
      <c r="M168" t="s">
        <v>419</v>
      </c>
      <c r="N168" t="s">
        <v>382</v>
      </c>
      <c r="O168" t="s">
        <v>383</v>
      </c>
      <c r="P168" t="s">
        <v>401</v>
      </c>
      <c r="Q168">
        <v>24529757</v>
      </c>
      <c r="R168" t="s">
        <v>775</v>
      </c>
      <c r="S168">
        <v>5.133</v>
      </c>
      <c r="T168">
        <v>500</v>
      </c>
      <c r="U168">
        <v>250</v>
      </c>
      <c r="V168">
        <v>250</v>
      </c>
      <c r="W168">
        <v>1</v>
      </c>
      <c r="X168" t="s">
        <v>402</v>
      </c>
      <c r="Y168">
        <v>67776358</v>
      </c>
      <c r="Z168" t="s">
        <v>760</v>
      </c>
    </row>
    <row r="169" spans="1:26" x14ac:dyDescent="0.2">
      <c r="A169" t="s">
        <v>764</v>
      </c>
      <c r="B169" t="s">
        <v>420</v>
      </c>
      <c r="D169">
        <v>14</v>
      </c>
      <c r="E169">
        <v>72939495</v>
      </c>
      <c r="F169" s="3">
        <v>5.0000000000000004E-6</v>
      </c>
      <c r="J169" t="s">
        <v>16</v>
      </c>
      <c r="L169" t="s">
        <v>16</v>
      </c>
      <c r="M169" t="s">
        <v>421</v>
      </c>
      <c r="N169" t="s">
        <v>382</v>
      </c>
      <c r="O169" t="s">
        <v>383</v>
      </c>
      <c r="P169" t="s">
        <v>401</v>
      </c>
      <c r="Q169">
        <v>24529757</v>
      </c>
      <c r="R169" t="s">
        <v>775</v>
      </c>
      <c r="S169">
        <v>5.133</v>
      </c>
      <c r="T169">
        <v>500</v>
      </c>
      <c r="U169">
        <v>250</v>
      </c>
      <c r="V169">
        <v>250</v>
      </c>
      <c r="W169">
        <v>1</v>
      </c>
      <c r="X169" t="s">
        <v>402</v>
      </c>
      <c r="Y169">
        <v>72472787</v>
      </c>
      <c r="Z169" t="s">
        <v>760</v>
      </c>
    </row>
    <row r="170" spans="1:26" x14ac:dyDescent="0.2">
      <c r="A170" t="s">
        <v>764</v>
      </c>
      <c r="B170" t="s">
        <v>422</v>
      </c>
      <c r="D170">
        <v>14</v>
      </c>
      <c r="E170">
        <v>101474870</v>
      </c>
      <c r="F170" s="3">
        <v>9.9999999999999995E-8</v>
      </c>
      <c r="J170" t="s">
        <v>16</v>
      </c>
      <c r="L170" t="s">
        <v>16</v>
      </c>
      <c r="M170" t="s">
        <v>423</v>
      </c>
      <c r="N170" t="s">
        <v>382</v>
      </c>
      <c r="O170" t="s">
        <v>383</v>
      </c>
      <c r="P170" t="s">
        <v>401</v>
      </c>
      <c r="Q170">
        <v>24529757</v>
      </c>
      <c r="R170" t="s">
        <v>775</v>
      </c>
      <c r="S170">
        <v>5.133</v>
      </c>
      <c r="T170">
        <v>500</v>
      </c>
      <c r="U170">
        <v>250</v>
      </c>
      <c r="V170">
        <v>250</v>
      </c>
      <c r="W170">
        <v>1</v>
      </c>
      <c r="X170" t="s">
        <v>402</v>
      </c>
      <c r="Y170">
        <v>101008533</v>
      </c>
      <c r="Z170" t="s">
        <v>760</v>
      </c>
    </row>
    <row r="171" spans="1:26" x14ac:dyDescent="0.2">
      <c r="A171" t="s">
        <v>764</v>
      </c>
      <c r="B171" t="s">
        <v>424</v>
      </c>
      <c r="D171" s="4">
        <v>15</v>
      </c>
      <c r="E171" s="4">
        <v>84372773</v>
      </c>
      <c r="F171" s="3">
        <v>6.0000000000000002E-6</v>
      </c>
      <c r="J171" t="s">
        <v>16</v>
      </c>
      <c r="L171" t="s">
        <v>16</v>
      </c>
      <c r="M171" t="s">
        <v>16</v>
      </c>
      <c r="N171" t="s">
        <v>382</v>
      </c>
      <c r="O171" t="s">
        <v>383</v>
      </c>
      <c r="P171" t="s">
        <v>401</v>
      </c>
      <c r="Q171">
        <v>24529757</v>
      </c>
      <c r="R171" t="s">
        <v>775</v>
      </c>
      <c r="S171">
        <v>5.133</v>
      </c>
      <c r="T171">
        <v>500</v>
      </c>
      <c r="U171">
        <v>250</v>
      </c>
      <c r="V171">
        <v>250</v>
      </c>
      <c r="W171">
        <v>1</v>
      </c>
      <c r="X171" t="s">
        <v>402</v>
      </c>
      <c r="Z171" t="s">
        <v>760</v>
      </c>
    </row>
    <row r="172" spans="1:26" x14ac:dyDescent="0.2">
      <c r="A172" t="s">
        <v>764</v>
      </c>
      <c r="B172" t="s">
        <v>425</v>
      </c>
      <c r="D172">
        <v>15</v>
      </c>
      <c r="E172">
        <v>93449641</v>
      </c>
      <c r="F172" s="3">
        <v>3.0000000000000001E-6</v>
      </c>
      <c r="J172" t="s">
        <v>16</v>
      </c>
      <c r="L172" t="s">
        <v>16</v>
      </c>
      <c r="M172" t="s">
        <v>16</v>
      </c>
      <c r="N172" t="s">
        <v>382</v>
      </c>
      <c r="O172" t="s">
        <v>383</v>
      </c>
      <c r="P172" t="s">
        <v>401</v>
      </c>
      <c r="Q172">
        <v>24529757</v>
      </c>
      <c r="R172" t="s">
        <v>775</v>
      </c>
      <c r="S172">
        <v>5.133</v>
      </c>
      <c r="T172">
        <v>500</v>
      </c>
      <c r="U172">
        <v>250</v>
      </c>
      <c r="V172">
        <v>250</v>
      </c>
      <c r="W172">
        <v>1</v>
      </c>
      <c r="X172" t="s">
        <v>402</v>
      </c>
      <c r="Z172" t="s">
        <v>760</v>
      </c>
    </row>
    <row r="173" spans="1:26" x14ac:dyDescent="0.2">
      <c r="A173" t="s">
        <v>764</v>
      </c>
      <c r="B173" t="s">
        <v>426</v>
      </c>
      <c r="D173">
        <v>16</v>
      </c>
      <c r="E173">
        <v>48180110</v>
      </c>
      <c r="F173" s="3">
        <v>9.0000000000000002E-6</v>
      </c>
      <c r="J173" t="s">
        <v>16</v>
      </c>
      <c r="L173" t="s">
        <v>16</v>
      </c>
      <c r="M173" t="s">
        <v>427</v>
      </c>
      <c r="N173" t="s">
        <v>382</v>
      </c>
      <c r="O173" t="s">
        <v>383</v>
      </c>
      <c r="P173" t="s">
        <v>401</v>
      </c>
      <c r="Q173">
        <v>24529757</v>
      </c>
      <c r="R173" t="s">
        <v>775</v>
      </c>
      <c r="S173">
        <v>5.133</v>
      </c>
      <c r="T173">
        <v>500</v>
      </c>
      <c r="U173">
        <v>250</v>
      </c>
      <c r="V173">
        <v>250</v>
      </c>
      <c r="W173">
        <v>1</v>
      </c>
      <c r="X173" t="s">
        <v>402</v>
      </c>
      <c r="Y173">
        <v>48146199</v>
      </c>
      <c r="Z173" t="s">
        <v>760</v>
      </c>
    </row>
    <row r="174" spans="1:26" x14ac:dyDescent="0.2">
      <c r="A174" t="s">
        <v>764</v>
      </c>
      <c r="B174" t="s">
        <v>428</v>
      </c>
      <c r="D174" s="4">
        <v>16</v>
      </c>
      <c r="E174" s="4">
        <v>85771838</v>
      </c>
      <c r="F174" s="3">
        <v>1.9999999999999999E-6</v>
      </c>
      <c r="J174" t="s">
        <v>16</v>
      </c>
      <c r="L174" t="s">
        <v>16</v>
      </c>
      <c r="M174" t="s">
        <v>16</v>
      </c>
      <c r="N174" t="s">
        <v>382</v>
      </c>
      <c r="O174" t="s">
        <v>383</v>
      </c>
      <c r="P174" t="s">
        <v>401</v>
      </c>
      <c r="Q174">
        <v>24529757</v>
      </c>
      <c r="R174" t="s">
        <v>775</v>
      </c>
      <c r="S174">
        <v>5.133</v>
      </c>
      <c r="T174">
        <v>500</v>
      </c>
      <c r="U174">
        <v>250</v>
      </c>
      <c r="V174">
        <v>250</v>
      </c>
      <c r="W174">
        <v>1</v>
      </c>
      <c r="X174" t="s">
        <v>402</v>
      </c>
      <c r="Z174" t="s">
        <v>760</v>
      </c>
    </row>
    <row r="175" spans="1:26" x14ac:dyDescent="0.2">
      <c r="A175" t="s">
        <v>764</v>
      </c>
      <c r="B175" t="s">
        <v>429</v>
      </c>
      <c r="D175">
        <v>17</v>
      </c>
      <c r="E175">
        <v>33112106</v>
      </c>
      <c r="F175" s="3">
        <v>9.9999999999999995E-8</v>
      </c>
      <c r="J175" t="s">
        <v>16</v>
      </c>
      <c r="L175" t="s">
        <v>16</v>
      </c>
      <c r="M175" t="s">
        <v>16</v>
      </c>
      <c r="N175" t="s">
        <v>382</v>
      </c>
      <c r="O175" t="s">
        <v>383</v>
      </c>
      <c r="P175" t="s">
        <v>401</v>
      </c>
      <c r="Q175">
        <v>24529757</v>
      </c>
      <c r="R175" t="s">
        <v>775</v>
      </c>
      <c r="S175">
        <v>5.133</v>
      </c>
      <c r="T175">
        <v>500</v>
      </c>
      <c r="U175">
        <v>250</v>
      </c>
      <c r="V175">
        <v>250</v>
      </c>
      <c r="W175">
        <v>1</v>
      </c>
      <c r="X175" t="s">
        <v>402</v>
      </c>
      <c r="Y175">
        <v>34785087</v>
      </c>
      <c r="Z175" t="s">
        <v>760</v>
      </c>
    </row>
    <row r="176" spans="1:26" x14ac:dyDescent="0.2">
      <c r="A176" t="s">
        <v>764</v>
      </c>
      <c r="B176" t="s">
        <v>430</v>
      </c>
      <c r="D176" s="4">
        <v>18</v>
      </c>
      <c r="E176" s="4">
        <v>11257335</v>
      </c>
      <c r="F176" s="3">
        <v>8.9999999999999996E-7</v>
      </c>
      <c r="J176" t="s">
        <v>16</v>
      </c>
      <c r="L176" t="s">
        <v>16</v>
      </c>
      <c r="M176" t="s">
        <v>16</v>
      </c>
      <c r="N176" t="s">
        <v>382</v>
      </c>
      <c r="O176" t="s">
        <v>383</v>
      </c>
      <c r="P176" t="s">
        <v>401</v>
      </c>
      <c r="Q176">
        <v>24529757</v>
      </c>
      <c r="R176" t="s">
        <v>775</v>
      </c>
      <c r="S176">
        <v>5.133</v>
      </c>
      <c r="T176">
        <v>500</v>
      </c>
      <c r="U176">
        <v>250</v>
      </c>
      <c r="V176">
        <v>250</v>
      </c>
      <c r="W176">
        <v>1</v>
      </c>
      <c r="X176" t="s">
        <v>402</v>
      </c>
      <c r="Z176" t="s">
        <v>760</v>
      </c>
    </row>
    <row r="177" spans="1:26" x14ac:dyDescent="0.2">
      <c r="A177" t="s">
        <v>764</v>
      </c>
      <c r="B177" t="s">
        <v>431</v>
      </c>
      <c r="D177">
        <v>18</v>
      </c>
      <c r="E177">
        <v>39187170</v>
      </c>
      <c r="F177" s="3">
        <v>4.9999999999999998E-7</v>
      </c>
      <c r="J177" t="s">
        <v>16</v>
      </c>
      <c r="L177" t="s">
        <v>16</v>
      </c>
      <c r="M177" t="s">
        <v>432</v>
      </c>
      <c r="N177" t="s">
        <v>382</v>
      </c>
      <c r="O177" t="s">
        <v>383</v>
      </c>
      <c r="P177" t="s">
        <v>401</v>
      </c>
      <c r="Q177">
        <v>24529757</v>
      </c>
      <c r="R177" t="s">
        <v>775</v>
      </c>
      <c r="S177">
        <v>5.133</v>
      </c>
      <c r="T177">
        <v>500</v>
      </c>
      <c r="U177">
        <v>250</v>
      </c>
      <c r="V177">
        <v>250</v>
      </c>
      <c r="W177">
        <v>1</v>
      </c>
      <c r="X177" t="s">
        <v>402</v>
      </c>
      <c r="Y177">
        <v>41607206</v>
      </c>
      <c r="Z177" t="s">
        <v>760</v>
      </c>
    </row>
    <row r="178" spans="1:26" x14ac:dyDescent="0.2">
      <c r="A178" t="s">
        <v>764</v>
      </c>
      <c r="B178" t="s">
        <v>433</v>
      </c>
      <c r="D178">
        <v>18</v>
      </c>
      <c r="E178">
        <v>55783497</v>
      </c>
      <c r="F178" s="3">
        <v>3.0000000000000001E-6</v>
      </c>
      <c r="J178" t="s">
        <v>16</v>
      </c>
      <c r="L178" t="s">
        <v>16</v>
      </c>
      <c r="M178" t="s">
        <v>434</v>
      </c>
      <c r="N178" t="s">
        <v>382</v>
      </c>
      <c r="O178" t="s">
        <v>383</v>
      </c>
      <c r="P178" t="s">
        <v>401</v>
      </c>
      <c r="Q178">
        <v>24529757</v>
      </c>
      <c r="R178" t="s">
        <v>775</v>
      </c>
      <c r="S178">
        <v>5.133</v>
      </c>
      <c r="T178">
        <v>500</v>
      </c>
      <c r="U178">
        <v>250</v>
      </c>
      <c r="V178">
        <v>250</v>
      </c>
      <c r="W178">
        <v>1</v>
      </c>
      <c r="X178" t="s">
        <v>402</v>
      </c>
      <c r="Y178">
        <v>58116265</v>
      </c>
      <c r="Z178" t="s">
        <v>760</v>
      </c>
    </row>
    <row r="179" spans="1:26" x14ac:dyDescent="0.2">
      <c r="A179" t="s">
        <v>764</v>
      </c>
      <c r="B179" t="s">
        <v>435</v>
      </c>
      <c r="D179" s="4">
        <v>19</v>
      </c>
      <c r="E179" s="4">
        <v>12074572</v>
      </c>
      <c r="F179" s="3">
        <v>3.9999999999999998E-6</v>
      </c>
      <c r="J179" t="s">
        <v>16</v>
      </c>
      <c r="L179" t="s">
        <v>16</v>
      </c>
      <c r="M179" t="s">
        <v>16</v>
      </c>
      <c r="N179" t="s">
        <v>382</v>
      </c>
      <c r="O179" t="s">
        <v>383</v>
      </c>
      <c r="P179" t="s">
        <v>401</v>
      </c>
      <c r="Q179">
        <v>24529757</v>
      </c>
      <c r="R179" t="s">
        <v>775</v>
      </c>
      <c r="S179">
        <v>5.133</v>
      </c>
      <c r="T179">
        <v>500</v>
      </c>
      <c r="U179">
        <v>250</v>
      </c>
      <c r="V179">
        <v>250</v>
      </c>
      <c r="W179">
        <v>1</v>
      </c>
      <c r="X179" t="s">
        <v>402</v>
      </c>
      <c r="Z179" t="s">
        <v>760</v>
      </c>
    </row>
    <row r="180" spans="1:26" x14ac:dyDescent="0.2">
      <c r="A180" t="s">
        <v>764</v>
      </c>
      <c r="B180" t="s">
        <v>436</v>
      </c>
      <c r="D180" s="4">
        <v>19</v>
      </c>
      <c r="E180" s="4">
        <v>53292844</v>
      </c>
      <c r="F180" s="3">
        <v>5.0000000000000004E-6</v>
      </c>
      <c r="J180" t="s">
        <v>16</v>
      </c>
      <c r="L180" t="s">
        <v>16</v>
      </c>
      <c r="M180" t="s">
        <v>16</v>
      </c>
      <c r="N180" t="s">
        <v>382</v>
      </c>
      <c r="O180" t="s">
        <v>383</v>
      </c>
      <c r="P180" t="s">
        <v>401</v>
      </c>
      <c r="Q180">
        <v>24529757</v>
      </c>
      <c r="R180" t="s">
        <v>775</v>
      </c>
      <c r="S180">
        <v>5.133</v>
      </c>
      <c r="T180">
        <v>500</v>
      </c>
      <c r="U180">
        <v>250</v>
      </c>
      <c r="V180">
        <v>250</v>
      </c>
      <c r="W180">
        <v>1</v>
      </c>
      <c r="X180" t="s">
        <v>402</v>
      </c>
      <c r="Z180" t="s">
        <v>760</v>
      </c>
    </row>
    <row r="181" spans="1:26" x14ac:dyDescent="0.2">
      <c r="A181" t="s">
        <v>764</v>
      </c>
      <c r="B181" t="s">
        <v>437</v>
      </c>
      <c r="D181">
        <v>20</v>
      </c>
      <c r="E181">
        <v>22672420</v>
      </c>
      <c r="F181" s="3">
        <v>8.9999999999999996E-7</v>
      </c>
      <c r="J181" t="s">
        <v>16</v>
      </c>
      <c r="L181" t="s">
        <v>16</v>
      </c>
      <c r="M181" t="s">
        <v>438</v>
      </c>
      <c r="N181" t="s">
        <v>382</v>
      </c>
      <c r="O181" t="s">
        <v>383</v>
      </c>
      <c r="P181" t="s">
        <v>401</v>
      </c>
      <c r="Q181">
        <v>24529757</v>
      </c>
      <c r="R181" t="s">
        <v>775</v>
      </c>
      <c r="S181">
        <v>5.133</v>
      </c>
      <c r="T181">
        <v>500</v>
      </c>
      <c r="U181">
        <v>250</v>
      </c>
      <c r="V181">
        <v>250</v>
      </c>
      <c r="W181">
        <v>1</v>
      </c>
      <c r="X181" t="s">
        <v>402</v>
      </c>
      <c r="Y181">
        <v>22691782</v>
      </c>
      <c r="Z181" t="s">
        <v>760</v>
      </c>
    </row>
    <row r="182" spans="1:26" x14ac:dyDescent="0.2">
      <c r="A182" t="s">
        <v>764</v>
      </c>
      <c r="B182" t="s">
        <v>439</v>
      </c>
      <c r="D182">
        <v>20</v>
      </c>
      <c r="E182">
        <v>50108320</v>
      </c>
      <c r="F182" s="3">
        <v>5.0000000000000004E-6</v>
      </c>
      <c r="J182" t="s">
        <v>16</v>
      </c>
      <c r="L182" t="s">
        <v>16</v>
      </c>
      <c r="M182" t="s">
        <v>440</v>
      </c>
      <c r="N182" t="s">
        <v>382</v>
      </c>
      <c r="O182" t="s">
        <v>383</v>
      </c>
      <c r="P182" t="s">
        <v>401</v>
      </c>
      <c r="Q182">
        <v>24529757</v>
      </c>
      <c r="R182" t="s">
        <v>775</v>
      </c>
      <c r="S182">
        <v>5.133</v>
      </c>
      <c r="T182">
        <v>500</v>
      </c>
      <c r="U182">
        <v>250</v>
      </c>
      <c r="V182">
        <v>250</v>
      </c>
      <c r="W182">
        <v>1</v>
      </c>
      <c r="X182" t="s">
        <v>402</v>
      </c>
      <c r="Y182">
        <v>51491782</v>
      </c>
      <c r="Z182" t="s">
        <v>760</v>
      </c>
    </row>
    <row r="183" spans="1:26" x14ac:dyDescent="0.2">
      <c r="A183" t="s">
        <v>764</v>
      </c>
      <c r="B183" t="s">
        <v>441</v>
      </c>
      <c r="D183">
        <v>21</v>
      </c>
      <c r="E183">
        <v>19479731</v>
      </c>
      <c r="F183" s="3">
        <v>6.0000000000000002E-6</v>
      </c>
      <c r="J183" t="s">
        <v>16</v>
      </c>
      <c r="L183" t="s">
        <v>16</v>
      </c>
      <c r="M183" t="s">
        <v>442</v>
      </c>
      <c r="N183" t="s">
        <v>382</v>
      </c>
      <c r="O183" t="s">
        <v>383</v>
      </c>
      <c r="P183" t="s">
        <v>401</v>
      </c>
      <c r="Q183">
        <v>24529757</v>
      </c>
      <c r="R183" t="s">
        <v>775</v>
      </c>
      <c r="S183">
        <v>5.133</v>
      </c>
      <c r="T183">
        <v>500</v>
      </c>
      <c r="U183">
        <v>250</v>
      </c>
      <c r="V183">
        <v>250</v>
      </c>
      <c r="W183">
        <v>1</v>
      </c>
      <c r="X183" t="s">
        <v>402</v>
      </c>
      <c r="Y183">
        <v>18107413</v>
      </c>
      <c r="Z183" t="s">
        <v>760</v>
      </c>
    </row>
    <row r="184" spans="1:26" x14ac:dyDescent="0.2">
      <c r="A184" t="s">
        <v>764</v>
      </c>
      <c r="B184" t="s">
        <v>443</v>
      </c>
      <c r="D184" s="4">
        <v>21</v>
      </c>
      <c r="E184" s="4">
        <v>39813766</v>
      </c>
      <c r="F184" s="3">
        <v>5.0000000000000004E-6</v>
      </c>
      <c r="J184" t="s">
        <v>16</v>
      </c>
      <c r="L184" t="s">
        <v>16</v>
      </c>
      <c r="M184" t="s">
        <v>16</v>
      </c>
      <c r="N184" t="s">
        <v>382</v>
      </c>
      <c r="O184" t="s">
        <v>383</v>
      </c>
      <c r="P184" t="s">
        <v>401</v>
      </c>
      <c r="Q184">
        <v>24529757</v>
      </c>
      <c r="R184" t="s">
        <v>775</v>
      </c>
      <c r="S184">
        <v>5.133</v>
      </c>
      <c r="T184">
        <v>500</v>
      </c>
      <c r="U184">
        <v>250</v>
      </c>
      <c r="V184">
        <v>250</v>
      </c>
      <c r="W184">
        <v>1</v>
      </c>
      <c r="X184" t="s">
        <v>402</v>
      </c>
      <c r="Z184" t="s">
        <v>760</v>
      </c>
    </row>
    <row r="185" spans="1:26" x14ac:dyDescent="0.2">
      <c r="A185" t="s">
        <v>764</v>
      </c>
      <c r="B185" t="s">
        <v>444</v>
      </c>
      <c r="D185">
        <v>22</v>
      </c>
      <c r="E185">
        <v>50128268</v>
      </c>
      <c r="F185" s="3">
        <v>7.9999999999999996E-6</v>
      </c>
      <c r="J185" t="s">
        <v>16</v>
      </c>
      <c r="L185" t="s">
        <v>16</v>
      </c>
      <c r="M185" t="s">
        <v>445</v>
      </c>
      <c r="N185" t="s">
        <v>382</v>
      </c>
      <c r="O185" t="s">
        <v>383</v>
      </c>
      <c r="P185" t="s">
        <v>401</v>
      </c>
      <c r="Q185">
        <v>24529757</v>
      </c>
      <c r="R185" t="s">
        <v>775</v>
      </c>
      <c r="S185">
        <v>5.133</v>
      </c>
      <c r="T185">
        <v>500</v>
      </c>
      <c r="U185">
        <v>250</v>
      </c>
      <c r="V185">
        <v>250</v>
      </c>
      <c r="W185">
        <v>1</v>
      </c>
      <c r="X185" t="s">
        <v>402</v>
      </c>
      <c r="Y185">
        <v>49734620</v>
      </c>
      <c r="Z185" t="s">
        <v>760</v>
      </c>
    </row>
    <row r="186" spans="1:26" x14ac:dyDescent="0.2">
      <c r="A186" t="s">
        <v>764</v>
      </c>
      <c r="B186" t="s">
        <v>446</v>
      </c>
      <c r="D186" s="4">
        <v>4</v>
      </c>
      <c r="E186" s="4">
        <v>184088316</v>
      </c>
      <c r="F186" s="3">
        <v>7.9999999999999996E-6</v>
      </c>
      <c r="J186" t="s">
        <v>16</v>
      </c>
      <c r="L186" t="s">
        <v>16</v>
      </c>
      <c r="M186" t="s">
        <v>16</v>
      </c>
      <c r="N186" t="s">
        <v>382</v>
      </c>
      <c r="O186" t="s">
        <v>383</v>
      </c>
      <c r="P186" t="s">
        <v>401</v>
      </c>
      <c r="Q186">
        <v>24529757</v>
      </c>
      <c r="R186" t="s">
        <v>775</v>
      </c>
      <c r="S186">
        <v>5.133</v>
      </c>
      <c r="T186">
        <v>500</v>
      </c>
      <c r="U186">
        <v>250</v>
      </c>
      <c r="V186">
        <v>250</v>
      </c>
      <c r="W186">
        <v>1</v>
      </c>
      <c r="X186" t="s">
        <v>402</v>
      </c>
      <c r="Z186" t="s">
        <v>760</v>
      </c>
    </row>
    <row r="187" spans="1:26" x14ac:dyDescent="0.2">
      <c r="A187" t="s">
        <v>764</v>
      </c>
      <c r="B187" t="s">
        <v>447</v>
      </c>
      <c r="D187">
        <v>5</v>
      </c>
      <c r="E187">
        <v>117983612</v>
      </c>
      <c r="F187" s="3">
        <v>1.9999999999999999E-6</v>
      </c>
      <c r="J187" t="s">
        <v>16</v>
      </c>
      <c r="L187" t="s">
        <v>16</v>
      </c>
      <c r="M187" t="s">
        <v>448</v>
      </c>
      <c r="N187" t="s">
        <v>382</v>
      </c>
      <c r="O187" t="s">
        <v>383</v>
      </c>
      <c r="P187" t="s">
        <v>401</v>
      </c>
      <c r="Q187">
        <v>24529757</v>
      </c>
      <c r="R187" t="s">
        <v>775</v>
      </c>
      <c r="S187">
        <v>5.133</v>
      </c>
      <c r="T187">
        <v>500</v>
      </c>
      <c r="U187">
        <v>250</v>
      </c>
      <c r="V187">
        <v>250</v>
      </c>
      <c r="W187">
        <v>1</v>
      </c>
      <c r="X187" t="s">
        <v>402</v>
      </c>
      <c r="Y187">
        <v>118647917</v>
      </c>
      <c r="Z187" t="s">
        <v>760</v>
      </c>
    </row>
    <row r="188" spans="1:26" x14ac:dyDescent="0.2">
      <c r="A188" t="s">
        <v>764</v>
      </c>
      <c r="B188" t="s">
        <v>449</v>
      </c>
      <c r="D188">
        <v>5</v>
      </c>
      <c r="E188">
        <v>133179080</v>
      </c>
      <c r="F188" s="3">
        <v>7.0000000000000005E-8</v>
      </c>
      <c r="J188" t="s">
        <v>16</v>
      </c>
      <c r="L188" t="s">
        <v>16</v>
      </c>
      <c r="M188" t="s">
        <v>450</v>
      </c>
      <c r="N188" t="s">
        <v>382</v>
      </c>
      <c r="O188" t="s">
        <v>383</v>
      </c>
      <c r="P188" t="s">
        <v>401</v>
      </c>
      <c r="Q188">
        <v>24529757</v>
      </c>
      <c r="R188" t="s">
        <v>775</v>
      </c>
      <c r="S188">
        <v>5.133</v>
      </c>
      <c r="T188">
        <v>500</v>
      </c>
      <c r="U188">
        <v>250</v>
      </c>
      <c r="V188">
        <v>250</v>
      </c>
      <c r="W188">
        <v>1</v>
      </c>
      <c r="X188" t="s">
        <v>402</v>
      </c>
      <c r="Y188">
        <v>133843389</v>
      </c>
      <c r="Z188" t="s">
        <v>760</v>
      </c>
    </row>
    <row r="189" spans="1:26" x14ac:dyDescent="0.2">
      <c r="A189" t="s">
        <v>764</v>
      </c>
      <c r="B189" t="s">
        <v>451</v>
      </c>
      <c r="D189">
        <v>5</v>
      </c>
      <c r="E189">
        <v>144528455</v>
      </c>
      <c r="F189" s="3">
        <v>7.9999999999999996E-6</v>
      </c>
      <c r="J189" t="s">
        <v>16</v>
      </c>
      <c r="L189" t="s">
        <v>16</v>
      </c>
      <c r="M189" t="s">
        <v>452</v>
      </c>
      <c r="N189" t="s">
        <v>382</v>
      </c>
      <c r="O189" t="s">
        <v>383</v>
      </c>
      <c r="P189" t="s">
        <v>401</v>
      </c>
      <c r="Q189">
        <v>24529757</v>
      </c>
      <c r="R189" t="s">
        <v>775</v>
      </c>
      <c r="S189">
        <v>5.133</v>
      </c>
      <c r="T189">
        <v>500</v>
      </c>
      <c r="U189">
        <v>250</v>
      </c>
      <c r="V189">
        <v>250</v>
      </c>
      <c r="W189">
        <v>1</v>
      </c>
      <c r="X189" t="s">
        <v>402</v>
      </c>
      <c r="Y189">
        <v>145148892</v>
      </c>
      <c r="Z189" t="s">
        <v>760</v>
      </c>
    </row>
    <row r="190" spans="1:26" x14ac:dyDescent="0.2">
      <c r="A190" t="s">
        <v>764</v>
      </c>
      <c r="B190" t="s">
        <v>453</v>
      </c>
      <c r="D190" s="4">
        <v>5</v>
      </c>
      <c r="E190" s="4">
        <v>162970611</v>
      </c>
      <c r="F190" s="3">
        <v>1.9999999999999999E-6</v>
      </c>
      <c r="J190" t="s">
        <v>16</v>
      </c>
      <c r="L190" t="s">
        <v>16</v>
      </c>
      <c r="M190" t="s">
        <v>16</v>
      </c>
      <c r="N190" t="s">
        <v>382</v>
      </c>
      <c r="O190" t="s">
        <v>383</v>
      </c>
      <c r="P190" t="s">
        <v>401</v>
      </c>
      <c r="Q190">
        <v>24529757</v>
      </c>
      <c r="R190" t="s">
        <v>775</v>
      </c>
      <c r="S190">
        <v>5.133</v>
      </c>
      <c r="T190">
        <v>500</v>
      </c>
      <c r="U190">
        <v>250</v>
      </c>
      <c r="V190">
        <v>250</v>
      </c>
      <c r="W190">
        <v>1</v>
      </c>
      <c r="X190" t="s">
        <v>402</v>
      </c>
      <c r="Z190" t="s">
        <v>760</v>
      </c>
    </row>
    <row r="191" spans="1:26" x14ac:dyDescent="0.2">
      <c r="A191" t="s">
        <v>764</v>
      </c>
      <c r="B191" t="s">
        <v>454</v>
      </c>
      <c r="D191">
        <v>6</v>
      </c>
      <c r="E191">
        <v>42054346</v>
      </c>
      <c r="F191" s="3">
        <v>6.0000000000000002E-6</v>
      </c>
      <c r="J191" t="s">
        <v>16</v>
      </c>
      <c r="L191" t="s">
        <v>16</v>
      </c>
      <c r="M191" t="s">
        <v>455</v>
      </c>
      <c r="N191" t="s">
        <v>382</v>
      </c>
      <c r="O191" t="s">
        <v>383</v>
      </c>
      <c r="P191" t="s">
        <v>401</v>
      </c>
      <c r="Q191">
        <v>24529757</v>
      </c>
      <c r="R191" t="s">
        <v>775</v>
      </c>
      <c r="S191">
        <v>5.133</v>
      </c>
      <c r="T191">
        <v>500</v>
      </c>
      <c r="U191">
        <v>250</v>
      </c>
      <c r="V191">
        <v>250</v>
      </c>
      <c r="W191">
        <v>1</v>
      </c>
      <c r="X191" t="s">
        <v>402</v>
      </c>
      <c r="Y191">
        <v>42086608</v>
      </c>
      <c r="Z191" t="s">
        <v>760</v>
      </c>
    </row>
    <row r="192" spans="1:26" x14ac:dyDescent="0.2">
      <c r="A192" t="s">
        <v>764</v>
      </c>
      <c r="B192" t="s">
        <v>456</v>
      </c>
      <c r="D192">
        <v>6</v>
      </c>
      <c r="E192">
        <v>91845407</v>
      </c>
      <c r="F192" s="3">
        <v>4.9999999999999998E-7</v>
      </c>
      <c r="J192" t="s">
        <v>16</v>
      </c>
      <c r="L192" t="s">
        <v>16</v>
      </c>
      <c r="M192" t="s">
        <v>16</v>
      </c>
      <c r="N192" t="s">
        <v>382</v>
      </c>
      <c r="O192" t="s">
        <v>383</v>
      </c>
      <c r="P192" t="s">
        <v>401</v>
      </c>
      <c r="Q192">
        <v>24529757</v>
      </c>
      <c r="R192" t="s">
        <v>775</v>
      </c>
      <c r="S192">
        <v>5.133</v>
      </c>
      <c r="T192">
        <v>500</v>
      </c>
      <c r="U192">
        <v>250</v>
      </c>
      <c r="V192">
        <v>250</v>
      </c>
      <c r="W192">
        <v>1</v>
      </c>
      <c r="X192" t="s">
        <v>402</v>
      </c>
      <c r="Y192">
        <v>91135689</v>
      </c>
      <c r="Z192" t="s">
        <v>760</v>
      </c>
    </row>
    <row r="193" spans="1:26" x14ac:dyDescent="0.2">
      <c r="A193" t="s">
        <v>764</v>
      </c>
      <c r="B193" t="s">
        <v>457</v>
      </c>
      <c r="D193" s="4">
        <v>6</v>
      </c>
      <c r="E193" s="4">
        <v>111994732</v>
      </c>
      <c r="F193" s="3">
        <v>3.0000000000000001E-6</v>
      </c>
      <c r="J193" t="s">
        <v>16</v>
      </c>
      <c r="L193" t="s">
        <v>16</v>
      </c>
      <c r="M193" t="s">
        <v>16</v>
      </c>
      <c r="N193" t="s">
        <v>382</v>
      </c>
      <c r="O193" t="s">
        <v>383</v>
      </c>
      <c r="P193" t="s">
        <v>401</v>
      </c>
      <c r="Q193">
        <v>24529757</v>
      </c>
      <c r="R193" t="s">
        <v>775</v>
      </c>
      <c r="S193">
        <v>5.133</v>
      </c>
      <c r="T193">
        <v>500</v>
      </c>
      <c r="U193">
        <v>250</v>
      </c>
      <c r="V193">
        <v>250</v>
      </c>
      <c r="W193">
        <v>1</v>
      </c>
      <c r="X193" t="s">
        <v>402</v>
      </c>
      <c r="Z193" t="s">
        <v>760</v>
      </c>
    </row>
    <row r="194" spans="1:26" x14ac:dyDescent="0.2">
      <c r="A194" t="s">
        <v>764</v>
      </c>
      <c r="B194" t="s">
        <v>458</v>
      </c>
      <c r="D194" s="4">
        <v>4</v>
      </c>
      <c r="E194" s="4">
        <v>149067678</v>
      </c>
      <c r="F194" s="3">
        <v>1.9999999999999999E-6</v>
      </c>
      <c r="J194" t="s">
        <v>16</v>
      </c>
      <c r="L194" t="s">
        <v>16</v>
      </c>
      <c r="M194" t="s">
        <v>16</v>
      </c>
      <c r="N194" t="s">
        <v>382</v>
      </c>
      <c r="O194" t="s">
        <v>383</v>
      </c>
      <c r="P194" t="s">
        <v>401</v>
      </c>
      <c r="Q194">
        <v>24529757</v>
      </c>
      <c r="R194" t="s">
        <v>775</v>
      </c>
      <c r="S194">
        <v>5.133</v>
      </c>
      <c r="T194">
        <v>500</v>
      </c>
      <c r="U194">
        <v>250</v>
      </c>
      <c r="V194">
        <v>250</v>
      </c>
      <c r="W194">
        <v>1</v>
      </c>
      <c r="X194" t="s">
        <v>402</v>
      </c>
      <c r="Z194" t="s">
        <v>760</v>
      </c>
    </row>
    <row r="195" spans="1:26" x14ac:dyDescent="0.2">
      <c r="A195" t="s">
        <v>764</v>
      </c>
      <c r="B195" t="s">
        <v>459</v>
      </c>
      <c r="D195" s="4">
        <v>4</v>
      </c>
      <c r="E195" s="4">
        <v>166650444</v>
      </c>
      <c r="F195" s="3">
        <v>5.0000000000000004E-6</v>
      </c>
      <c r="J195" t="s">
        <v>16</v>
      </c>
      <c r="L195" t="s">
        <v>16</v>
      </c>
      <c r="M195" t="s">
        <v>16</v>
      </c>
      <c r="N195" t="s">
        <v>382</v>
      </c>
      <c r="O195" t="s">
        <v>383</v>
      </c>
      <c r="P195" t="s">
        <v>401</v>
      </c>
      <c r="Q195">
        <v>24529757</v>
      </c>
      <c r="R195" t="s">
        <v>775</v>
      </c>
      <c r="S195">
        <v>5.133</v>
      </c>
      <c r="T195">
        <v>500</v>
      </c>
      <c r="U195">
        <v>250</v>
      </c>
      <c r="V195">
        <v>250</v>
      </c>
      <c r="W195">
        <v>1</v>
      </c>
      <c r="X195" t="s">
        <v>402</v>
      </c>
      <c r="Z195" t="s">
        <v>760</v>
      </c>
    </row>
    <row r="196" spans="1:26" x14ac:dyDescent="0.2">
      <c r="A196" t="s">
        <v>764</v>
      </c>
      <c r="B196" t="s">
        <v>460</v>
      </c>
      <c r="D196" s="4">
        <v>7</v>
      </c>
      <c r="E196" s="4">
        <v>68876436</v>
      </c>
      <c r="F196" s="3">
        <v>5.9999999999999997E-7</v>
      </c>
      <c r="J196" t="s">
        <v>16</v>
      </c>
      <c r="L196" t="s">
        <v>16</v>
      </c>
      <c r="M196" t="s">
        <v>16</v>
      </c>
      <c r="N196" t="s">
        <v>382</v>
      </c>
      <c r="O196" t="s">
        <v>383</v>
      </c>
      <c r="P196" t="s">
        <v>401</v>
      </c>
      <c r="Q196">
        <v>24529757</v>
      </c>
      <c r="R196" t="s">
        <v>775</v>
      </c>
      <c r="S196">
        <v>5.133</v>
      </c>
      <c r="T196">
        <v>500</v>
      </c>
      <c r="U196">
        <v>250</v>
      </c>
      <c r="V196">
        <v>250</v>
      </c>
      <c r="W196">
        <v>1</v>
      </c>
      <c r="X196" t="s">
        <v>402</v>
      </c>
      <c r="Z196" t="s">
        <v>760</v>
      </c>
    </row>
    <row r="197" spans="1:26" x14ac:dyDescent="0.2">
      <c r="A197" t="s">
        <v>764</v>
      </c>
      <c r="B197" t="s">
        <v>461</v>
      </c>
      <c r="D197">
        <v>7</v>
      </c>
      <c r="E197">
        <v>139687304</v>
      </c>
      <c r="F197" s="3">
        <v>1.9999999999999999E-6</v>
      </c>
      <c r="J197" t="s">
        <v>16</v>
      </c>
      <c r="L197" t="s">
        <v>16</v>
      </c>
      <c r="M197" t="s">
        <v>462</v>
      </c>
      <c r="N197" t="s">
        <v>382</v>
      </c>
      <c r="O197" t="s">
        <v>383</v>
      </c>
      <c r="P197" t="s">
        <v>401</v>
      </c>
      <c r="Q197">
        <v>24529757</v>
      </c>
      <c r="R197" t="s">
        <v>775</v>
      </c>
      <c r="S197">
        <v>5.133</v>
      </c>
      <c r="T197">
        <v>500</v>
      </c>
      <c r="U197">
        <v>250</v>
      </c>
      <c r="V197">
        <v>250</v>
      </c>
      <c r="W197">
        <v>1</v>
      </c>
      <c r="X197" t="s">
        <v>402</v>
      </c>
      <c r="Y197">
        <v>139987505</v>
      </c>
      <c r="Z197" t="s">
        <v>760</v>
      </c>
    </row>
    <row r="198" spans="1:26" x14ac:dyDescent="0.2">
      <c r="A198" t="s">
        <v>764</v>
      </c>
      <c r="B198" t="s">
        <v>463</v>
      </c>
      <c r="D198" s="4">
        <v>8</v>
      </c>
      <c r="E198" s="4">
        <v>11332036</v>
      </c>
      <c r="F198" s="3">
        <v>9.9999999999999995E-7</v>
      </c>
      <c r="J198" t="s">
        <v>16</v>
      </c>
      <c r="L198" t="s">
        <v>16</v>
      </c>
      <c r="M198" t="s">
        <v>16</v>
      </c>
      <c r="N198" t="s">
        <v>382</v>
      </c>
      <c r="O198" t="s">
        <v>383</v>
      </c>
      <c r="P198" t="s">
        <v>401</v>
      </c>
      <c r="Q198">
        <v>24529757</v>
      </c>
      <c r="R198" t="s">
        <v>775</v>
      </c>
      <c r="S198">
        <v>5.133</v>
      </c>
      <c r="T198">
        <v>500</v>
      </c>
      <c r="U198">
        <v>250</v>
      </c>
      <c r="V198">
        <v>250</v>
      </c>
      <c r="W198">
        <v>1</v>
      </c>
      <c r="X198" t="s">
        <v>402</v>
      </c>
      <c r="Z198" t="s">
        <v>760</v>
      </c>
    </row>
    <row r="199" spans="1:26" x14ac:dyDescent="0.2">
      <c r="A199" t="s">
        <v>764</v>
      </c>
      <c r="B199" t="s">
        <v>464</v>
      </c>
      <c r="D199" s="4">
        <v>8</v>
      </c>
      <c r="E199" s="4">
        <v>63633247</v>
      </c>
      <c r="F199" s="3">
        <v>1.9999999999999999E-6</v>
      </c>
      <c r="J199" t="s">
        <v>16</v>
      </c>
      <c r="L199" t="s">
        <v>16</v>
      </c>
      <c r="M199" t="s">
        <v>16</v>
      </c>
      <c r="N199" t="s">
        <v>382</v>
      </c>
      <c r="O199" t="s">
        <v>383</v>
      </c>
      <c r="P199" t="s">
        <v>401</v>
      </c>
      <c r="Q199">
        <v>24529757</v>
      </c>
      <c r="R199" t="s">
        <v>775</v>
      </c>
      <c r="S199">
        <v>5.133</v>
      </c>
      <c r="T199">
        <v>500</v>
      </c>
      <c r="U199">
        <v>250</v>
      </c>
      <c r="V199">
        <v>250</v>
      </c>
      <c r="W199">
        <v>1</v>
      </c>
      <c r="X199" t="s">
        <v>402</v>
      </c>
      <c r="Z199" t="s">
        <v>760</v>
      </c>
    </row>
    <row r="200" spans="1:26" x14ac:dyDescent="0.2">
      <c r="A200" t="s">
        <v>764</v>
      </c>
      <c r="B200" t="s">
        <v>465</v>
      </c>
      <c r="D200" s="4">
        <v>11</v>
      </c>
      <c r="E200" s="4">
        <v>44991618</v>
      </c>
      <c r="F200" s="3">
        <v>2.9999999999999999E-7</v>
      </c>
      <c r="J200" t="s">
        <v>16</v>
      </c>
      <c r="L200" t="s">
        <v>16</v>
      </c>
      <c r="M200" t="s">
        <v>16</v>
      </c>
      <c r="N200" t="s">
        <v>382</v>
      </c>
      <c r="O200" t="s">
        <v>383</v>
      </c>
      <c r="P200" t="s">
        <v>401</v>
      </c>
      <c r="Q200">
        <v>24529757</v>
      </c>
      <c r="R200" t="s">
        <v>775</v>
      </c>
      <c r="S200">
        <v>5.133</v>
      </c>
      <c r="T200">
        <v>500</v>
      </c>
      <c r="U200">
        <v>250</v>
      </c>
      <c r="V200">
        <v>250</v>
      </c>
      <c r="W200">
        <v>1</v>
      </c>
      <c r="X200" t="s">
        <v>402</v>
      </c>
      <c r="Z200" t="s">
        <v>760</v>
      </c>
    </row>
    <row r="201" spans="1:26" x14ac:dyDescent="0.2">
      <c r="A201" t="s">
        <v>764</v>
      </c>
      <c r="B201" t="s">
        <v>466</v>
      </c>
      <c r="D201">
        <v>11</v>
      </c>
      <c r="E201">
        <v>91657276</v>
      </c>
      <c r="F201" s="3">
        <v>7.9999999999999996E-6</v>
      </c>
      <c r="J201" t="s">
        <v>16</v>
      </c>
      <c r="L201" t="s">
        <v>16</v>
      </c>
      <c r="M201" t="s">
        <v>467</v>
      </c>
      <c r="N201" t="s">
        <v>382</v>
      </c>
      <c r="O201" t="s">
        <v>383</v>
      </c>
      <c r="P201" t="s">
        <v>401</v>
      </c>
      <c r="Q201">
        <v>24529757</v>
      </c>
      <c r="R201" t="s">
        <v>775</v>
      </c>
      <c r="S201">
        <v>5.133</v>
      </c>
      <c r="T201">
        <v>500</v>
      </c>
      <c r="U201">
        <v>250</v>
      </c>
      <c r="V201">
        <v>250</v>
      </c>
      <c r="W201">
        <v>1</v>
      </c>
      <c r="X201" t="s">
        <v>402</v>
      </c>
      <c r="Y201">
        <v>91924110</v>
      </c>
      <c r="Z201" t="s">
        <v>760</v>
      </c>
    </row>
    <row r="202" spans="1:26" x14ac:dyDescent="0.2">
      <c r="A202" t="s">
        <v>764</v>
      </c>
      <c r="B202" t="s">
        <v>468</v>
      </c>
      <c r="D202" s="4">
        <v>11</v>
      </c>
      <c r="E202" s="4">
        <v>97002971</v>
      </c>
      <c r="F202" s="3">
        <v>1.9999999999999999E-7</v>
      </c>
      <c r="J202" t="s">
        <v>16</v>
      </c>
      <c r="L202" t="s">
        <v>16</v>
      </c>
      <c r="M202" t="s">
        <v>16</v>
      </c>
      <c r="N202" t="s">
        <v>382</v>
      </c>
      <c r="O202" t="s">
        <v>383</v>
      </c>
      <c r="P202" t="s">
        <v>401</v>
      </c>
      <c r="Q202">
        <v>24529757</v>
      </c>
      <c r="R202" t="s">
        <v>775</v>
      </c>
      <c r="S202">
        <v>5.133</v>
      </c>
      <c r="T202">
        <v>500</v>
      </c>
      <c r="U202">
        <v>250</v>
      </c>
      <c r="V202">
        <v>250</v>
      </c>
      <c r="W202">
        <v>1</v>
      </c>
      <c r="X202" t="s">
        <v>402</v>
      </c>
      <c r="Z202" t="s">
        <v>760</v>
      </c>
    </row>
    <row r="203" spans="1:26" x14ac:dyDescent="0.2">
      <c r="A203" t="s">
        <v>764</v>
      </c>
      <c r="B203" t="s">
        <v>469</v>
      </c>
      <c r="D203" s="4">
        <v>11</v>
      </c>
      <c r="E203" s="4">
        <v>128539092</v>
      </c>
      <c r="F203" s="3">
        <v>4.9999999999999998E-7</v>
      </c>
      <c r="J203" t="s">
        <v>16</v>
      </c>
      <c r="L203" t="s">
        <v>16</v>
      </c>
      <c r="M203" t="s">
        <v>16</v>
      </c>
      <c r="N203" t="s">
        <v>382</v>
      </c>
      <c r="O203" t="s">
        <v>383</v>
      </c>
      <c r="P203" t="s">
        <v>401</v>
      </c>
      <c r="Q203">
        <v>24529757</v>
      </c>
      <c r="R203" t="s">
        <v>775</v>
      </c>
      <c r="S203">
        <v>5.133</v>
      </c>
      <c r="T203">
        <v>500</v>
      </c>
      <c r="U203">
        <v>250</v>
      </c>
      <c r="V203">
        <v>250</v>
      </c>
      <c r="W203">
        <v>1</v>
      </c>
      <c r="X203" t="s">
        <v>402</v>
      </c>
      <c r="Z203" t="s">
        <v>760</v>
      </c>
    </row>
    <row r="204" spans="1:26" x14ac:dyDescent="0.2">
      <c r="A204" t="s">
        <v>764</v>
      </c>
      <c r="B204" t="s">
        <v>470</v>
      </c>
      <c r="D204" s="4">
        <v>12</v>
      </c>
      <c r="E204" s="4">
        <v>26294559</v>
      </c>
      <c r="F204" s="3">
        <v>9.9999999999999995E-7</v>
      </c>
      <c r="J204" t="s">
        <v>16</v>
      </c>
      <c r="L204" t="s">
        <v>16</v>
      </c>
      <c r="M204" t="s">
        <v>16</v>
      </c>
      <c r="N204" t="s">
        <v>382</v>
      </c>
      <c r="O204" t="s">
        <v>383</v>
      </c>
      <c r="P204" t="s">
        <v>401</v>
      </c>
      <c r="Q204">
        <v>24529757</v>
      </c>
      <c r="R204" t="s">
        <v>775</v>
      </c>
      <c r="S204">
        <v>5.133</v>
      </c>
      <c r="T204">
        <v>500</v>
      </c>
      <c r="U204">
        <v>250</v>
      </c>
      <c r="V204">
        <v>250</v>
      </c>
      <c r="W204">
        <v>1</v>
      </c>
      <c r="X204" t="s">
        <v>402</v>
      </c>
      <c r="Z204" t="s">
        <v>760</v>
      </c>
    </row>
    <row r="205" spans="1:26" x14ac:dyDescent="0.2">
      <c r="A205" t="s">
        <v>764</v>
      </c>
      <c r="B205" t="s">
        <v>471</v>
      </c>
      <c r="D205">
        <v>12</v>
      </c>
      <c r="E205">
        <v>93687084</v>
      </c>
      <c r="F205" s="3">
        <v>2.9999999999999999E-7</v>
      </c>
      <c r="J205" t="s">
        <v>16</v>
      </c>
      <c r="L205" t="s">
        <v>16</v>
      </c>
      <c r="M205" t="s">
        <v>472</v>
      </c>
      <c r="N205" t="s">
        <v>382</v>
      </c>
      <c r="O205" t="s">
        <v>383</v>
      </c>
      <c r="P205" t="s">
        <v>401</v>
      </c>
      <c r="Q205">
        <v>24529757</v>
      </c>
      <c r="R205" t="s">
        <v>775</v>
      </c>
      <c r="S205">
        <v>5.133</v>
      </c>
      <c r="T205">
        <v>500</v>
      </c>
      <c r="U205">
        <v>250</v>
      </c>
      <c r="V205">
        <v>250</v>
      </c>
      <c r="W205">
        <v>1</v>
      </c>
      <c r="X205" t="s">
        <v>402</v>
      </c>
      <c r="Y205">
        <v>93293308</v>
      </c>
      <c r="Z205" t="s">
        <v>760</v>
      </c>
    </row>
    <row r="206" spans="1:26" x14ac:dyDescent="0.2">
      <c r="A206" t="s">
        <v>764</v>
      </c>
      <c r="B206" t="s">
        <v>473</v>
      </c>
      <c r="D206" s="4">
        <v>12</v>
      </c>
      <c r="E206" s="4">
        <v>101561673</v>
      </c>
      <c r="F206" s="3">
        <v>5.0000000000000004E-6</v>
      </c>
      <c r="J206" t="s">
        <v>16</v>
      </c>
      <c r="L206" t="s">
        <v>16</v>
      </c>
      <c r="M206" t="s">
        <v>16</v>
      </c>
      <c r="N206" t="s">
        <v>382</v>
      </c>
      <c r="O206" t="s">
        <v>383</v>
      </c>
      <c r="P206" t="s">
        <v>401</v>
      </c>
      <c r="Q206">
        <v>24529757</v>
      </c>
      <c r="R206" t="s">
        <v>775</v>
      </c>
      <c r="S206">
        <v>5.133</v>
      </c>
      <c r="T206">
        <v>500</v>
      </c>
      <c r="U206">
        <v>250</v>
      </c>
      <c r="V206">
        <v>250</v>
      </c>
      <c r="W206">
        <v>1</v>
      </c>
      <c r="X206" t="s">
        <v>402</v>
      </c>
      <c r="Z206" t="s">
        <v>760</v>
      </c>
    </row>
    <row r="207" spans="1:26" x14ac:dyDescent="0.2">
      <c r="A207" t="s">
        <v>764</v>
      </c>
      <c r="B207" t="s">
        <v>474</v>
      </c>
      <c r="D207">
        <v>13</v>
      </c>
      <c r="E207">
        <v>22620207</v>
      </c>
      <c r="F207" s="3">
        <v>9.9999999999999995E-7</v>
      </c>
      <c r="J207" t="s">
        <v>16</v>
      </c>
      <c r="L207" t="s">
        <v>16</v>
      </c>
      <c r="M207" t="s">
        <v>475</v>
      </c>
      <c r="N207" t="s">
        <v>382</v>
      </c>
      <c r="O207" t="s">
        <v>383</v>
      </c>
      <c r="P207" t="s">
        <v>401</v>
      </c>
      <c r="Q207">
        <v>24529757</v>
      </c>
      <c r="R207" t="s">
        <v>775</v>
      </c>
      <c r="S207">
        <v>5.133</v>
      </c>
      <c r="T207">
        <v>500</v>
      </c>
      <c r="U207">
        <v>250</v>
      </c>
      <c r="V207">
        <v>250</v>
      </c>
      <c r="W207">
        <v>1</v>
      </c>
      <c r="X207" t="s">
        <v>402</v>
      </c>
      <c r="Y207">
        <v>22046068</v>
      </c>
      <c r="Z207" t="s">
        <v>760</v>
      </c>
    </row>
    <row r="208" spans="1:26" x14ac:dyDescent="0.2">
      <c r="A208" t="s">
        <v>764</v>
      </c>
      <c r="B208" t="s">
        <v>476</v>
      </c>
      <c r="D208" s="4">
        <v>13</v>
      </c>
      <c r="E208" s="4">
        <v>25754087</v>
      </c>
      <c r="F208" s="3">
        <v>9.9999999999999995E-7</v>
      </c>
      <c r="J208" t="s">
        <v>16</v>
      </c>
      <c r="L208" t="s">
        <v>16</v>
      </c>
      <c r="M208" t="s">
        <v>16</v>
      </c>
      <c r="N208" t="s">
        <v>382</v>
      </c>
      <c r="O208" t="s">
        <v>383</v>
      </c>
      <c r="P208" t="s">
        <v>401</v>
      </c>
      <c r="Q208">
        <v>24529757</v>
      </c>
      <c r="R208" t="s">
        <v>775</v>
      </c>
      <c r="S208">
        <v>5.133</v>
      </c>
      <c r="T208">
        <v>500</v>
      </c>
      <c r="U208">
        <v>250</v>
      </c>
      <c r="V208">
        <v>250</v>
      </c>
      <c r="W208">
        <v>1</v>
      </c>
      <c r="X208" t="s">
        <v>402</v>
      </c>
      <c r="Z208" t="s">
        <v>760</v>
      </c>
    </row>
    <row r="209" spans="1:26" x14ac:dyDescent="0.2">
      <c r="A209" t="s">
        <v>764</v>
      </c>
      <c r="B209" t="s">
        <v>477</v>
      </c>
      <c r="D209" s="4">
        <v>13</v>
      </c>
      <c r="E209" s="4">
        <v>52140460</v>
      </c>
      <c r="F209" s="3">
        <v>9.9999999999999995E-7</v>
      </c>
      <c r="J209" t="s">
        <v>16</v>
      </c>
      <c r="L209" t="s">
        <v>16</v>
      </c>
      <c r="M209" t="s">
        <v>16</v>
      </c>
      <c r="N209" t="s">
        <v>382</v>
      </c>
      <c r="O209" t="s">
        <v>383</v>
      </c>
      <c r="P209" t="s">
        <v>401</v>
      </c>
      <c r="Q209">
        <v>24529757</v>
      </c>
      <c r="R209" t="s">
        <v>775</v>
      </c>
      <c r="S209">
        <v>5.133</v>
      </c>
      <c r="T209">
        <v>500</v>
      </c>
      <c r="U209">
        <v>250</v>
      </c>
      <c r="V209">
        <v>250</v>
      </c>
      <c r="W209">
        <v>1</v>
      </c>
      <c r="X209" t="s">
        <v>402</v>
      </c>
      <c r="Z209" t="s">
        <v>760</v>
      </c>
    </row>
    <row r="210" spans="1:26" x14ac:dyDescent="0.2">
      <c r="A210" t="s">
        <v>764</v>
      </c>
      <c r="B210" t="s">
        <v>478</v>
      </c>
      <c r="D210" s="4">
        <v>14</v>
      </c>
      <c r="E210" s="4">
        <v>28119470</v>
      </c>
      <c r="F210" s="3">
        <v>6.9999999999999999E-6</v>
      </c>
      <c r="J210" t="s">
        <v>16</v>
      </c>
      <c r="L210" t="s">
        <v>16</v>
      </c>
      <c r="M210" t="s">
        <v>16</v>
      </c>
      <c r="N210" t="s">
        <v>382</v>
      </c>
      <c r="O210" t="s">
        <v>383</v>
      </c>
      <c r="P210" t="s">
        <v>401</v>
      </c>
      <c r="Q210">
        <v>24529757</v>
      </c>
      <c r="R210" t="s">
        <v>775</v>
      </c>
      <c r="S210">
        <v>5.133</v>
      </c>
      <c r="T210">
        <v>500</v>
      </c>
      <c r="U210">
        <v>250</v>
      </c>
      <c r="V210">
        <v>250</v>
      </c>
      <c r="W210">
        <v>1</v>
      </c>
      <c r="X210" t="s">
        <v>402</v>
      </c>
      <c r="Z210" t="s">
        <v>760</v>
      </c>
    </row>
    <row r="211" spans="1:26" x14ac:dyDescent="0.2">
      <c r="A211" t="s">
        <v>764</v>
      </c>
      <c r="B211" t="s">
        <v>479</v>
      </c>
      <c r="D211" s="4">
        <v>14</v>
      </c>
      <c r="E211" s="4">
        <v>62335915</v>
      </c>
      <c r="F211" s="3">
        <v>5.9999999999999997E-7</v>
      </c>
      <c r="J211" t="s">
        <v>16</v>
      </c>
      <c r="L211" t="s">
        <v>16</v>
      </c>
      <c r="M211" t="s">
        <v>16</v>
      </c>
      <c r="N211" t="s">
        <v>382</v>
      </c>
      <c r="O211" t="s">
        <v>383</v>
      </c>
      <c r="P211" t="s">
        <v>401</v>
      </c>
      <c r="Q211">
        <v>24529757</v>
      </c>
      <c r="R211" t="s">
        <v>775</v>
      </c>
      <c r="S211">
        <v>5.133</v>
      </c>
      <c r="T211">
        <v>500</v>
      </c>
      <c r="U211">
        <v>250</v>
      </c>
      <c r="V211">
        <v>250</v>
      </c>
      <c r="W211">
        <v>1</v>
      </c>
      <c r="X211" t="s">
        <v>402</v>
      </c>
      <c r="Z211" t="s">
        <v>760</v>
      </c>
    </row>
    <row r="212" spans="1:26" x14ac:dyDescent="0.2">
      <c r="A212" t="s">
        <v>764</v>
      </c>
      <c r="B212" t="s">
        <v>480</v>
      </c>
      <c r="D212">
        <v>14</v>
      </c>
      <c r="E212">
        <v>96107955</v>
      </c>
      <c r="F212" s="3">
        <v>9.9999999999999995E-7</v>
      </c>
      <c r="J212" t="s">
        <v>16</v>
      </c>
      <c r="L212" t="s">
        <v>16</v>
      </c>
      <c r="M212" t="s">
        <v>481</v>
      </c>
      <c r="N212" t="s">
        <v>382</v>
      </c>
      <c r="O212" t="s">
        <v>383</v>
      </c>
      <c r="P212" t="s">
        <v>401</v>
      </c>
      <c r="Q212">
        <v>24529757</v>
      </c>
      <c r="R212" t="s">
        <v>775</v>
      </c>
      <c r="S212">
        <v>5.133</v>
      </c>
      <c r="T212">
        <v>500</v>
      </c>
      <c r="U212">
        <v>250</v>
      </c>
      <c r="V212">
        <v>250</v>
      </c>
      <c r="W212">
        <v>1</v>
      </c>
      <c r="X212" t="s">
        <v>402</v>
      </c>
      <c r="Y212">
        <v>95641618</v>
      </c>
      <c r="Z212" t="s">
        <v>760</v>
      </c>
    </row>
    <row r="213" spans="1:26" x14ac:dyDescent="0.2">
      <c r="A213" t="s">
        <v>764</v>
      </c>
      <c r="B213" t="s">
        <v>482</v>
      </c>
      <c r="D213" s="4">
        <v>15</v>
      </c>
      <c r="E213" s="4">
        <v>33662412</v>
      </c>
      <c r="F213" s="3">
        <v>5.0000000000000004E-6</v>
      </c>
      <c r="J213" t="s">
        <v>16</v>
      </c>
      <c r="L213" t="s">
        <v>16</v>
      </c>
      <c r="M213" t="s">
        <v>16</v>
      </c>
      <c r="N213" t="s">
        <v>382</v>
      </c>
      <c r="O213" t="s">
        <v>383</v>
      </c>
      <c r="P213" t="s">
        <v>401</v>
      </c>
      <c r="Q213">
        <v>24529757</v>
      </c>
      <c r="R213" t="s">
        <v>775</v>
      </c>
      <c r="S213">
        <v>5.133</v>
      </c>
      <c r="T213">
        <v>500</v>
      </c>
      <c r="U213">
        <v>250</v>
      </c>
      <c r="V213">
        <v>250</v>
      </c>
      <c r="W213">
        <v>1</v>
      </c>
      <c r="X213" t="s">
        <v>402</v>
      </c>
      <c r="Z213" t="s">
        <v>760</v>
      </c>
    </row>
    <row r="214" spans="1:26" x14ac:dyDescent="0.2">
      <c r="A214" t="s">
        <v>764</v>
      </c>
      <c r="B214" t="s">
        <v>483</v>
      </c>
      <c r="D214" s="4">
        <v>15</v>
      </c>
      <c r="E214" s="4">
        <v>88305612</v>
      </c>
      <c r="F214" s="3">
        <v>2.9999999999999999E-7</v>
      </c>
      <c r="J214" t="s">
        <v>16</v>
      </c>
      <c r="L214" t="s">
        <v>16</v>
      </c>
      <c r="M214" t="s">
        <v>16</v>
      </c>
      <c r="N214" t="s">
        <v>382</v>
      </c>
      <c r="O214" t="s">
        <v>383</v>
      </c>
      <c r="P214" t="s">
        <v>401</v>
      </c>
      <c r="Q214">
        <v>24529757</v>
      </c>
      <c r="R214" t="s">
        <v>775</v>
      </c>
      <c r="S214">
        <v>5.133</v>
      </c>
      <c r="T214">
        <v>500</v>
      </c>
      <c r="U214">
        <v>250</v>
      </c>
      <c r="V214">
        <v>250</v>
      </c>
      <c r="W214">
        <v>1</v>
      </c>
      <c r="X214" t="s">
        <v>402</v>
      </c>
      <c r="Z214" t="s">
        <v>760</v>
      </c>
    </row>
    <row r="215" spans="1:26" x14ac:dyDescent="0.2">
      <c r="A215" t="s">
        <v>764</v>
      </c>
      <c r="B215" t="s">
        <v>484</v>
      </c>
      <c r="D215" s="4">
        <v>15</v>
      </c>
      <c r="E215" s="4">
        <v>90210484</v>
      </c>
      <c r="F215" s="3">
        <v>3.9999999999999998E-6</v>
      </c>
      <c r="J215" t="s">
        <v>16</v>
      </c>
      <c r="L215" t="s">
        <v>16</v>
      </c>
      <c r="M215" t="s">
        <v>16</v>
      </c>
      <c r="N215" t="s">
        <v>382</v>
      </c>
      <c r="O215" t="s">
        <v>383</v>
      </c>
      <c r="P215" t="s">
        <v>401</v>
      </c>
      <c r="Q215">
        <v>24529757</v>
      </c>
      <c r="R215" t="s">
        <v>775</v>
      </c>
      <c r="S215">
        <v>5.133</v>
      </c>
      <c r="T215">
        <v>500</v>
      </c>
      <c r="U215">
        <v>250</v>
      </c>
      <c r="V215">
        <v>250</v>
      </c>
      <c r="W215">
        <v>1</v>
      </c>
      <c r="X215" t="s">
        <v>402</v>
      </c>
      <c r="Z215" t="s">
        <v>760</v>
      </c>
    </row>
    <row r="216" spans="1:26" x14ac:dyDescent="0.2">
      <c r="A216" t="s">
        <v>764</v>
      </c>
      <c r="B216" t="s">
        <v>485</v>
      </c>
      <c r="D216" s="4">
        <v>16</v>
      </c>
      <c r="E216" s="4">
        <v>77435730</v>
      </c>
      <c r="F216" s="3">
        <v>3.9999999999999998E-6</v>
      </c>
      <c r="J216" t="s">
        <v>16</v>
      </c>
      <c r="L216" t="s">
        <v>16</v>
      </c>
      <c r="M216" t="s">
        <v>16</v>
      </c>
      <c r="N216" t="s">
        <v>382</v>
      </c>
      <c r="O216" t="s">
        <v>383</v>
      </c>
      <c r="P216" t="s">
        <v>401</v>
      </c>
      <c r="Q216">
        <v>24529757</v>
      </c>
      <c r="R216" t="s">
        <v>775</v>
      </c>
      <c r="S216">
        <v>5.133</v>
      </c>
      <c r="T216">
        <v>500</v>
      </c>
      <c r="U216">
        <v>250</v>
      </c>
      <c r="V216">
        <v>250</v>
      </c>
      <c r="W216">
        <v>1</v>
      </c>
      <c r="X216" t="s">
        <v>402</v>
      </c>
      <c r="Z216" t="s">
        <v>760</v>
      </c>
    </row>
    <row r="217" spans="1:26" x14ac:dyDescent="0.2">
      <c r="A217" t="s">
        <v>764</v>
      </c>
      <c r="B217" t="s">
        <v>486</v>
      </c>
      <c r="D217">
        <v>16</v>
      </c>
      <c r="E217">
        <v>85625127</v>
      </c>
      <c r="F217" s="3">
        <v>6.9999999999999999E-6</v>
      </c>
      <c r="J217" t="s">
        <v>16</v>
      </c>
      <c r="L217" t="s">
        <v>16</v>
      </c>
      <c r="M217" t="s">
        <v>487</v>
      </c>
      <c r="N217" t="s">
        <v>382</v>
      </c>
      <c r="O217" t="s">
        <v>383</v>
      </c>
      <c r="P217" t="s">
        <v>401</v>
      </c>
      <c r="Q217">
        <v>24529757</v>
      </c>
      <c r="R217" t="s">
        <v>775</v>
      </c>
      <c r="S217">
        <v>5.133</v>
      </c>
      <c r="T217">
        <v>500</v>
      </c>
      <c r="U217">
        <v>250</v>
      </c>
      <c r="V217">
        <v>250</v>
      </c>
      <c r="W217">
        <v>1</v>
      </c>
      <c r="X217" t="s">
        <v>402</v>
      </c>
      <c r="Y217">
        <v>85591521</v>
      </c>
      <c r="Z217" t="s">
        <v>760</v>
      </c>
    </row>
    <row r="218" spans="1:26" x14ac:dyDescent="0.2">
      <c r="A218" t="s">
        <v>764</v>
      </c>
      <c r="B218" t="s">
        <v>488</v>
      </c>
      <c r="D218">
        <v>17</v>
      </c>
      <c r="E218">
        <v>31665328</v>
      </c>
      <c r="F218" s="3">
        <v>3.9999999999999998E-6</v>
      </c>
      <c r="J218" t="s">
        <v>16</v>
      </c>
      <c r="L218" t="s">
        <v>16</v>
      </c>
      <c r="M218" t="s">
        <v>489</v>
      </c>
      <c r="N218" t="s">
        <v>382</v>
      </c>
      <c r="O218" t="s">
        <v>383</v>
      </c>
      <c r="P218" t="s">
        <v>401</v>
      </c>
      <c r="Q218">
        <v>24529757</v>
      </c>
      <c r="R218" t="s">
        <v>775</v>
      </c>
      <c r="S218">
        <v>5.133</v>
      </c>
      <c r="T218">
        <v>500</v>
      </c>
      <c r="U218">
        <v>250</v>
      </c>
      <c r="V218">
        <v>250</v>
      </c>
      <c r="W218">
        <v>1</v>
      </c>
      <c r="X218" t="s">
        <v>402</v>
      </c>
      <c r="Y218">
        <v>33338310</v>
      </c>
      <c r="Z218" t="s">
        <v>760</v>
      </c>
    </row>
    <row r="219" spans="1:26" x14ac:dyDescent="0.2">
      <c r="A219" t="s">
        <v>764</v>
      </c>
      <c r="B219" t="s">
        <v>490</v>
      </c>
      <c r="D219">
        <v>17</v>
      </c>
      <c r="E219">
        <v>54868625</v>
      </c>
      <c r="F219" s="3">
        <v>1.9999999999999999E-6</v>
      </c>
      <c r="J219" t="s">
        <v>16</v>
      </c>
      <c r="L219" t="s">
        <v>16</v>
      </c>
      <c r="M219" t="s">
        <v>491</v>
      </c>
      <c r="N219" t="s">
        <v>382</v>
      </c>
      <c r="O219" t="s">
        <v>383</v>
      </c>
      <c r="P219" t="s">
        <v>401</v>
      </c>
      <c r="Q219">
        <v>24529757</v>
      </c>
      <c r="R219" t="s">
        <v>775</v>
      </c>
      <c r="S219">
        <v>5.133</v>
      </c>
      <c r="T219">
        <v>500</v>
      </c>
      <c r="U219">
        <v>250</v>
      </c>
      <c r="V219">
        <v>250</v>
      </c>
      <c r="W219">
        <v>1</v>
      </c>
      <c r="X219" t="s">
        <v>402</v>
      </c>
      <c r="Y219">
        <v>56791264</v>
      </c>
      <c r="Z219" t="s">
        <v>760</v>
      </c>
    </row>
    <row r="220" spans="1:26" x14ac:dyDescent="0.2">
      <c r="A220" t="s">
        <v>764</v>
      </c>
      <c r="B220" t="s">
        <v>492</v>
      </c>
      <c r="D220" s="4">
        <v>17</v>
      </c>
      <c r="E220" s="4">
        <v>62292825</v>
      </c>
      <c r="F220" s="3">
        <v>4.9999999999999998E-7</v>
      </c>
      <c r="J220" t="s">
        <v>16</v>
      </c>
      <c r="L220" t="s">
        <v>16</v>
      </c>
      <c r="M220" t="s">
        <v>16</v>
      </c>
      <c r="N220" t="s">
        <v>382</v>
      </c>
      <c r="O220" t="s">
        <v>383</v>
      </c>
      <c r="P220" t="s">
        <v>401</v>
      </c>
      <c r="Q220">
        <v>24529757</v>
      </c>
      <c r="R220" t="s">
        <v>775</v>
      </c>
      <c r="S220">
        <v>5.133</v>
      </c>
      <c r="T220">
        <v>500</v>
      </c>
      <c r="U220">
        <v>250</v>
      </c>
      <c r="V220">
        <v>250</v>
      </c>
      <c r="W220">
        <v>1</v>
      </c>
      <c r="X220" t="s">
        <v>402</v>
      </c>
      <c r="Z220" t="s">
        <v>760</v>
      </c>
    </row>
    <row r="221" spans="1:26" x14ac:dyDescent="0.2">
      <c r="A221" t="s">
        <v>764</v>
      </c>
      <c r="B221" t="s">
        <v>493</v>
      </c>
      <c r="D221" s="4">
        <v>18</v>
      </c>
      <c r="E221" s="4">
        <v>34832667</v>
      </c>
      <c r="F221" s="3">
        <v>1.9999999999999999E-6</v>
      </c>
      <c r="J221" t="s">
        <v>16</v>
      </c>
      <c r="L221" t="s">
        <v>16</v>
      </c>
      <c r="M221" t="s">
        <v>16</v>
      </c>
      <c r="N221" t="s">
        <v>382</v>
      </c>
      <c r="O221" t="s">
        <v>383</v>
      </c>
      <c r="P221" t="s">
        <v>401</v>
      </c>
      <c r="Q221">
        <v>24529757</v>
      </c>
      <c r="R221" t="s">
        <v>775</v>
      </c>
      <c r="S221">
        <v>5.133</v>
      </c>
      <c r="T221">
        <v>500</v>
      </c>
      <c r="U221">
        <v>250</v>
      </c>
      <c r="V221">
        <v>250</v>
      </c>
      <c r="W221">
        <v>1</v>
      </c>
      <c r="X221" t="s">
        <v>402</v>
      </c>
      <c r="Z221" t="s">
        <v>760</v>
      </c>
    </row>
    <row r="222" spans="1:26" x14ac:dyDescent="0.2">
      <c r="A222" t="s">
        <v>764</v>
      </c>
      <c r="B222" t="s">
        <v>494</v>
      </c>
      <c r="D222" s="4">
        <v>18</v>
      </c>
      <c r="E222" s="4">
        <v>44012076</v>
      </c>
      <c r="F222" s="3">
        <v>9.9999999999999995E-7</v>
      </c>
      <c r="J222" t="s">
        <v>16</v>
      </c>
      <c r="L222" t="s">
        <v>16</v>
      </c>
      <c r="M222" t="s">
        <v>16</v>
      </c>
      <c r="N222" t="s">
        <v>382</v>
      </c>
      <c r="O222" t="s">
        <v>383</v>
      </c>
      <c r="P222" t="s">
        <v>401</v>
      </c>
      <c r="Q222">
        <v>24529757</v>
      </c>
      <c r="R222" t="s">
        <v>775</v>
      </c>
      <c r="S222">
        <v>5.133</v>
      </c>
      <c r="T222">
        <v>500</v>
      </c>
      <c r="U222">
        <v>250</v>
      </c>
      <c r="V222">
        <v>250</v>
      </c>
      <c r="W222">
        <v>1</v>
      </c>
      <c r="X222" t="s">
        <v>402</v>
      </c>
      <c r="Z222" t="s">
        <v>760</v>
      </c>
    </row>
    <row r="223" spans="1:26" x14ac:dyDescent="0.2">
      <c r="A223" t="s">
        <v>764</v>
      </c>
      <c r="B223" t="s">
        <v>495</v>
      </c>
      <c r="D223" s="4">
        <v>18</v>
      </c>
      <c r="E223" s="4">
        <v>71427847</v>
      </c>
      <c r="F223" s="3">
        <v>1.9999999999999999E-7</v>
      </c>
      <c r="J223" t="s">
        <v>16</v>
      </c>
      <c r="L223" t="s">
        <v>16</v>
      </c>
      <c r="M223" t="s">
        <v>16</v>
      </c>
      <c r="N223" t="s">
        <v>382</v>
      </c>
      <c r="O223" t="s">
        <v>383</v>
      </c>
      <c r="P223" t="s">
        <v>401</v>
      </c>
      <c r="Q223">
        <v>24529757</v>
      </c>
      <c r="R223" t="s">
        <v>775</v>
      </c>
      <c r="S223">
        <v>5.133</v>
      </c>
      <c r="T223">
        <v>500</v>
      </c>
      <c r="U223">
        <v>250</v>
      </c>
      <c r="V223">
        <v>250</v>
      </c>
      <c r="W223">
        <v>1</v>
      </c>
      <c r="X223" t="s">
        <v>402</v>
      </c>
      <c r="Z223" t="s">
        <v>760</v>
      </c>
    </row>
    <row r="224" spans="1:26" x14ac:dyDescent="0.2">
      <c r="A224" t="s">
        <v>764</v>
      </c>
      <c r="B224" t="s">
        <v>496</v>
      </c>
      <c r="D224" s="4">
        <v>19</v>
      </c>
      <c r="E224" s="4">
        <v>38735581</v>
      </c>
      <c r="F224" s="3">
        <v>3.9999999999999998E-6</v>
      </c>
      <c r="J224" t="s">
        <v>16</v>
      </c>
      <c r="L224" t="s">
        <v>16</v>
      </c>
      <c r="M224" t="s">
        <v>16</v>
      </c>
      <c r="N224" t="s">
        <v>382</v>
      </c>
      <c r="O224" t="s">
        <v>383</v>
      </c>
      <c r="P224" t="s">
        <v>401</v>
      </c>
      <c r="Q224">
        <v>24529757</v>
      </c>
      <c r="R224" t="s">
        <v>775</v>
      </c>
      <c r="S224">
        <v>5.133</v>
      </c>
      <c r="T224">
        <v>500</v>
      </c>
      <c r="U224">
        <v>250</v>
      </c>
      <c r="V224">
        <v>250</v>
      </c>
      <c r="W224">
        <v>1</v>
      </c>
      <c r="X224" t="s">
        <v>402</v>
      </c>
      <c r="Z224" t="s">
        <v>760</v>
      </c>
    </row>
    <row r="225" spans="1:27" x14ac:dyDescent="0.2">
      <c r="A225" t="s">
        <v>764</v>
      </c>
      <c r="B225" t="s">
        <v>497</v>
      </c>
      <c r="D225">
        <v>20</v>
      </c>
      <c r="E225">
        <v>15227636</v>
      </c>
      <c r="F225" s="3">
        <v>7.9999999999999996E-6</v>
      </c>
      <c r="J225" t="s">
        <v>16</v>
      </c>
      <c r="L225" t="s">
        <v>16</v>
      </c>
      <c r="M225" t="s">
        <v>498</v>
      </c>
      <c r="N225" t="s">
        <v>382</v>
      </c>
      <c r="O225" t="s">
        <v>383</v>
      </c>
      <c r="P225" t="s">
        <v>401</v>
      </c>
      <c r="Q225">
        <v>24529757</v>
      </c>
      <c r="R225" t="s">
        <v>775</v>
      </c>
      <c r="S225">
        <v>5.133</v>
      </c>
      <c r="T225">
        <v>500</v>
      </c>
      <c r="U225">
        <v>250</v>
      </c>
      <c r="V225">
        <v>250</v>
      </c>
      <c r="W225">
        <v>1</v>
      </c>
      <c r="X225" t="s">
        <v>402</v>
      </c>
      <c r="Y225">
        <v>15246990</v>
      </c>
      <c r="Z225" t="s">
        <v>760</v>
      </c>
    </row>
    <row r="226" spans="1:27" x14ac:dyDescent="0.2">
      <c r="A226" t="s">
        <v>764</v>
      </c>
      <c r="B226" t="s">
        <v>499</v>
      </c>
      <c r="D226">
        <v>20</v>
      </c>
      <c r="E226">
        <v>33775200</v>
      </c>
      <c r="F226" s="3">
        <v>3.9999999999999998E-6</v>
      </c>
      <c r="J226" t="s">
        <v>16</v>
      </c>
      <c r="L226" t="s">
        <v>16</v>
      </c>
      <c r="M226" t="s">
        <v>500</v>
      </c>
      <c r="N226" t="s">
        <v>382</v>
      </c>
      <c r="O226" t="s">
        <v>383</v>
      </c>
      <c r="P226" t="s">
        <v>401</v>
      </c>
      <c r="Q226">
        <v>24529757</v>
      </c>
      <c r="R226" t="s">
        <v>775</v>
      </c>
      <c r="S226">
        <v>5.133</v>
      </c>
      <c r="T226">
        <v>500</v>
      </c>
      <c r="U226">
        <v>250</v>
      </c>
      <c r="V226">
        <v>250</v>
      </c>
      <c r="W226">
        <v>1</v>
      </c>
      <c r="X226" t="s">
        <v>402</v>
      </c>
      <c r="Y226">
        <v>35187397</v>
      </c>
      <c r="Z226" t="s">
        <v>760</v>
      </c>
    </row>
    <row r="227" spans="1:27" x14ac:dyDescent="0.2">
      <c r="A227" t="s">
        <v>764</v>
      </c>
      <c r="B227" t="s">
        <v>501</v>
      </c>
      <c r="D227" s="4">
        <v>20</v>
      </c>
      <c r="E227" s="4">
        <v>34089718</v>
      </c>
      <c r="F227" s="3">
        <v>9.9999999999999995E-8</v>
      </c>
      <c r="J227" t="s">
        <v>16</v>
      </c>
      <c r="L227" t="s">
        <v>16</v>
      </c>
      <c r="M227" t="s">
        <v>16</v>
      </c>
      <c r="N227" t="s">
        <v>382</v>
      </c>
      <c r="O227" t="s">
        <v>383</v>
      </c>
      <c r="P227" t="s">
        <v>401</v>
      </c>
      <c r="Q227">
        <v>24529757</v>
      </c>
      <c r="R227" t="s">
        <v>775</v>
      </c>
      <c r="S227">
        <v>5.133</v>
      </c>
      <c r="T227">
        <v>500</v>
      </c>
      <c r="U227">
        <v>250</v>
      </c>
      <c r="V227">
        <v>250</v>
      </c>
      <c r="W227">
        <v>1</v>
      </c>
      <c r="X227" t="s">
        <v>402</v>
      </c>
      <c r="Z227" t="s">
        <v>760</v>
      </c>
    </row>
    <row r="228" spans="1:27" x14ac:dyDescent="0.2">
      <c r="A228" t="s">
        <v>764</v>
      </c>
      <c r="B228" t="s">
        <v>502</v>
      </c>
      <c r="D228" s="4">
        <v>21</v>
      </c>
      <c r="E228" s="4">
        <v>22012679</v>
      </c>
      <c r="F228" s="3">
        <v>7.9999999999999996E-6</v>
      </c>
      <c r="J228" t="s">
        <v>16</v>
      </c>
      <c r="L228" t="s">
        <v>16</v>
      </c>
      <c r="M228" t="s">
        <v>16</v>
      </c>
      <c r="N228" t="s">
        <v>382</v>
      </c>
      <c r="O228" t="s">
        <v>383</v>
      </c>
      <c r="P228" t="s">
        <v>401</v>
      </c>
      <c r="Q228">
        <v>24529757</v>
      </c>
      <c r="R228" t="s">
        <v>775</v>
      </c>
      <c r="S228">
        <v>5.133</v>
      </c>
      <c r="T228">
        <v>500</v>
      </c>
      <c r="U228">
        <v>250</v>
      </c>
      <c r="V228">
        <v>250</v>
      </c>
      <c r="W228">
        <v>1</v>
      </c>
      <c r="X228" t="s">
        <v>402</v>
      </c>
      <c r="Z228" t="s">
        <v>760</v>
      </c>
    </row>
    <row r="229" spans="1:27" x14ac:dyDescent="0.2">
      <c r="A229" t="s">
        <v>764</v>
      </c>
      <c r="B229" t="s">
        <v>503</v>
      </c>
      <c r="D229" s="4">
        <v>22</v>
      </c>
      <c r="E229" s="4">
        <v>42292885</v>
      </c>
      <c r="F229" s="3">
        <v>9.9999999999999995E-7</v>
      </c>
      <c r="J229" t="s">
        <v>16</v>
      </c>
      <c r="L229" t="s">
        <v>16</v>
      </c>
      <c r="M229" t="s">
        <v>16</v>
      </c>
      <c r="N229" t="s">
        <v>382</v>
      </c>
      <c r="O229" t="s">
        <v>383</v>
      </c>
      <c r="P229" t="s">
        <v>401</v>
      </c>
      <c r="Q229">
        <v>24529757</v>
      </c>
      <c r="R229" t="s">
        <v>775</v>
      </c>
      <c r="S229">
        <v>5.133</v>
      </c>
      <c r="T229">
        <v>500</v>
      </c>
      <c r="U229">
        <v>250</v>
      </c>
      <c r="V229">
        <v>250</v>
      </c>
      <c r="W229">
        <v>1</v>
      </c>
      <c r="X229" t="s">
        <v>402</v>
      </c>
      <c r="Z229" t="s">
        <v>760</v>
      </c>
    </row>
    <row r="230" spans="1:27" x14ac:dyDescent="0.2">
      <c r="A230" t="s">
        <v>764</v>
      </c>
      <c r="B230" t="s">
        <v>504</v>
      </c>
      <c r="D230" s="4">
        <v>1</v>
      </c>
      <c r="E230" s="4">
        <v>38348765</v>
      </c>
      <c r="F230" s="3">
        <v>2E-8</v>
      </c>
      <c r="H230">
        <v>0.02</v>
      </c>
      <c r="I230" s="7">
        <v>17.440000000000001</v>
      </c>
      <c r="J230" t="s">
        <v>16</v>
      </c>
      <c r="K230" s="7">
        <f>LN(I230)</f>
        <v>2.8587664184808337</v>
      </c>
      <c r="L230" t="s">
        <v>505</v>
      </c>
      <c r="M230" t="s">
        <v>16</v>
      </c>
      <c r="N230" t="s">
        <v>382</v>
      </c>
      <c r="O230" t="s">
        <v>383</v>
      </c>
      <c r="P230" t="s">
        <v>401</v>
      </c>
      <c r="Q230">
        <v>24529757</v>
      </c>
      <c r="R230" t="s">
        <v>775</v>
      </c>
      <c r="S230">
        <v>5.133</v>
      </c>
      <c r="T230">
        <v>500</v>
      </c>
      <c r="U230">
        <v>250</v>
      </c>
      <c r="V230">
        <v>250</v>
      </c>
      <c r="W230">
        <v>1</v>
      </c>
      <c r="X230" t="s">
        <v>402</v>
      </c>
      <c r="Z230" t="s">
        <v>760</v>
      </c>
    </row>
    <row r="231" spans="1:27" x14ac:dyDescent="0.2">
      <c r="A231" t="s">
        <v>764</v>
      </c>
      <c r="B231" t="s">
        <v>506</v>
      </c>
      <c r="D231" s="4">
        <v>2</v>
      </c>
      <c r="E231" s="4">
        <v>77015974</v>
      </c>
      <c r="F231" s="3">
        <v>2E-8</v>
      </c>
      <c r="H231">
        <v>0.09</v>
      </c>
      <c r="J231" t="s">
        <v>16</v>
      </c>
      <c r="L231" t="s">
        <v>16</v>
      </c>
      <c r="M231" t="s">
        <v>16</v>
      </c>
      <c r="N231" t="s">
        <v>382</v>
      </c>
      <c r="O231" t="s">
        <v>383</v>
      </c>
      <c r="P231" t="s">
        <v>401</v>
      </c>
      <c r="Q231">
        <v>24529757</v>
      </c>
      <c r="R231" t="s">
        <v>775</v>
      </c>
      <c r="S231">
        <v>5.133</v>
      </c>
      <c r="T231">
        <v>500</v>
      </c>
      <c r="U231">
        <v>250</v>
      </c>
      <c r="V231">
        <v>250</v>
      </c>
      <c r="W231">
        <v>1</v>
      </c>
      <c r="X231" t="s">
        <v>402</v>
      </c>
      <c r="Z231" t="s">
        <v>760</v>
      </c>
    </row>
    <row r="232" spans="1:27" x14ac:dyDescent="0.2">
      <c r="A232" t="s">
        <v>764</v>
      </c>
      <c r="B232" t="s">
        <v>507</v>
      </c>
      <c r="D232">
        <v>3</v>
      </c>
      <c r="E232">
        <v>37604012</v>
      </c>
      <c r="F232" s="3">
        <v>2.9999999999999997E-8</v>
      </c>
      <c r="H232">
        <v>0.33</v>
      </c>
      <c r="I232" s="7">
        <v>3.0335000000000001</v>
      </c>
      <c r="J232" t="s">
        <v>16</v>
      </c>
      <c r="K232" s="7" cm="1">
        <f t="array" ref="K232:K234">LN(I232:I234)</f>
        <v>1.1097170684002156</v>
      </c>
      <c r="L232" t="s">
        <v>508</v>
      </c>
      <c r="M232" t="s">
        <v>509</v>
      </c>
      <c r="N232" t="s">
        <v>382</v>
      </c>
      <c r="O232" t="s">
        <v>383</v>
      </c>
      <c r="P232" t="s">
        <v>401</v>
      </c>
      <c r="Q232">
        <v>24529757</v>
      </c>
      <c r="R232" t="s">
        <v>775</v>
      </c>
      <c r="S232">
        <v>5.133</v>
      </c>
      <c r="T232">
        <v>500</v>
      </c>
      <c r="U232">
        <v>250</v>
      </c>
      <c r="V232">
        <v>250</v>
      </c>
      <c r="W232">
        <v>1</v>
      </c>
      <c r="X232" t="s">
        <v>402</v>
      </c>
      <c r="Y232">
        <v>37562521</v>
      </c>
      <c r="Z232" t="s">
        <v>760</v>
      </c>
      <c r="AA232" t="s">
        <v>741</v>
      </c>
    </row>
    <row r="233" spans="1:27" x14ac:dyDescent="0.2">
      <c r="A233" t="s">
        <v>764</v>
      </c>
      <c r="B233" t="s">
        <v>510</v>
      </c>
      <c r="D233">
        <v>3</v>
      </c>
      <c r="E233">
        <v>51917015</v>
      </c>
      <c r="F233" s="3">
        <v>2.0000000000000001E-9</v>
      </c>
      <c r="H233">
        <v>0.14000000000000001</v>
      </c>
      <c r="I233" s="7">
        <v>3.9462000000000002</v>
      </c>
      <c r="J233" t="s">
        <v>16</v>
      </c>
      <c r="K233" s="7">
        <v>1.3727530905532233</v>
      </c>
      <c r="L233" t="s">
        <v>511</v>
      </c>
      <c r="M233" t="s">
        <v>512</v>
      </c>
      <c r="N233" t="s">
        <v>382</v>
      </c>
      <c r="O233" t="s">
        <v>383</v>
      </c>
      <c r="P233" t="s">
        <v>401</v>
      </c>
      <c r="Q233">
        <v>24529757</v>
      </c>
      <c r="R233" t="s">
        <v>775</v>
      </c>
      <c r="S233">
        <v>5.133</v>
      </c>
      <c r="T233">
        <v>500</v>
      </c>
      <c r="U233">
        <v>250</v>
      </c>
      <c r="V233">
        <v>250</v>
      </c>
      <c r="W233">
        <v>1</v>
      </c>
      <c r="X233" t="s">
        <v>402</v>
      </c>
      <c r="Y233">
        <v>51882999</v>
      </c>
      <c r="Z233" t="s">
        <v>760</v>
      </c>
      <c r="AA233" t="s">
        <v>741</v>
      </c>
    </row>
    <row r="234" spans="1:27" x14ac:dyDescent="0.2">
      <c r="A234" t="s">
        <v>764</v>
      </c>
      <c r="B234" t="s">
        <v>513</v>
      </c>
      <c r="D234">
        <v>3</v>
      </c>
      <c r="E234">
        <v>104418573</v>
      </c>
      <c r="F234" s="3">
        <v>4.0000000000000001E-8</v>
      </c>
      <c r="H234">
        <v>0.35</v>
      </c>
      <c r="I234" s="7">
        <v>2.5813000000000001</v>
      </c>
      <c r="J234" t="s">
        <v>16</v>
      </c>
      <c r="K234" s="7">
        <v>0.94829314799964937</v>
      </c>
      <c r="L234" t="s">
        <v>514</v>
      </c>
      <c r="M234" t="s">
        <v>16</v>
      </c>
      <c r="N234" t="s">
        <v>382</v>
      </c>
      <c r="O234" t="s">
        <v>383</v>
      </c>
      <c r="P234" t="s">
        <v>401</v>
      </c>
      <c r="Q234">
        <v>24529757</v>
      </c>
      <c r="R234" t="s">
        <v>775</v>
      </c>
      <c r="S234">
        <v>5.133</v>
      </c>
      <c r="T234">
        <v>500</v>
      </c>
      <c r="U234">
        <v>250</v>
      </c>
      <c r="V234">
        <v>250</v>
      </c>
      <c r="W234">
        <v>1</v>
      </c>
      <c r="X234" t="s">
        <v>402</v>
      </c>
      <c r="Y234">
        <v>104699729</v>
      </c>
      <c r="Z234" t="s">
        <v>760</v>
      </c>
      <c r="AA234" t="s">
        <v>741</v>
      </c>
    </row>
    <row r="235" spans="1:27" x14ac:dyDescent="0.2">
      <c r="A235" t="s">
        <v>764</v>
      </c>
      <c r="B235" t="s">
        <v>515</v>
      </c>
      <c r="D235" s="4">
        <v>3</v>
      </c>
      <c r="E235" s="4">
        <v>127487380</v>
      </c>
      <c r="F235" s="3">
        <v>6E-9</v>
      </c>
      <c r="H235">
        <v>0.7</v>
      </c>
      <c r="J235" t="s">
        <v>16</v>
      </c>
      <c r="L235" t="s">
        <v>16</v>
      </c>
      <c r="M235" t="s">
        <v>16</v>
      </c>
      <c r="N235" t="s">
        <v>382</v>
      </c>
      <c r="O235" t="s">
        <v>383</v>
      </c>
      <c r="P235" t="s">
        <v>401</v>
      </c>
      <c r="Q235">
        <v>24529757</v>
      </c>
      <c r="R235" t="s">
        <v>775</v>
      </c>
      <c r="S235">
        <v>5.133</v>
      </c>
      <c r="T235">
        <v>500</v>
      </c>
      <c r="U235">
        <v>250</v>
      </c>
      <c r="V235">
        <v>250</v>
      </c>
      <c r="W235">
        <v>1</v>
      </c>
      <c r="X235" t="s">
        <v>402</v>
      </c>
      <c r="Z235" t="s">
        <v>760</v>
      </c>
    </row>
    <row r="236" spans="1:27" x14ac:dyDescent="0.2">
      <c r="A236" t="s">
        <v>764</v>
      </c>
      <c r="B236" t="s">
        <v>516</v>
      </c>
      <c r="D236">
        <v>5</v>
      </c>
      <c r="E236">
        <v>11084712</v>
      </c>
      <c r="F236" s="3">
        <v>2.9999999999999997E-8</v>
      </c>
      <c r="H236">
        <v>0.83</v>
      </c>
      <c r="J236" t="s">
        <v>16</v>
      </c>
      <c r="L236" t="s">
        <v>16</v>
      </c>
      <c r="M236" t="s">
        <v>517</v>
      </c>
      <c r="N236" t="s">
        <v>382</v>
      </c>
      <c r="O236" t="s">
        <v>383</v>
      </c>
      <c r="P236" t="s">
        <v>401</v>
      </c>
      <c r="Q236">
        <v>24529757</v>
      </c>
      <c r="R236" t="s">
        <v>775</v>
      </c>
      <c r="S236">
        <v>5.133</v>
      </c>
      <c r="T236">
        <v>500</v>
      </c>
      <c r="U236">
        <v>250</v>
      </c>
      <c r="V236">
        <v>250</v>
      </c>
      <c r="W236">
        <v>1</v>
      </c>
      <c r="X236" t="s">
        <v>402</v>
      </c>
      <c r="Y236">
        <v>11084600</v>
      </c>
      <c r="Z236" t="s">
        <v>760</v>
      </c>
      <c r="AA236" t="s">
        <v>741</v>
      </c>
    </row>
    <row r="237" spans="1:27" x14ac:dyDescent="0.2">
      <c r="A237" t="s">
        <v>764</v>
      </c>
      <c r="B237" t="s">
        <v>518</v>
      </c>
      <c r="D237">
        <v>5</v>
      </c>
      <c r="E237">
        <v>102725095</v>
      </c>
      <c r="F237" s="3">
        <v>5.0000000000000001E-9</v>
      </c>
      <c r="H237">
        <v>0.86</v>
      </c>
      <c r="J237" t="s">
        <v>16</v>
      </c>
      <c r="L237" t="s">
        <v>16</v>
      </c>
      <c r="M237" t="s">
        <v>519</v>
      </c>
      <c r="N237" t="s">
        <v>382</v>
      </c>
      <c r="O237" t="s">
        <v>383</v>
      </c>
      <c r="P237" t="s">
        <v>401</v>
      </c>
      <c r="Q237">
        <v>24529757</v>
      </c>
      <c r="R237" t="s">
        <v>775</v>
      </c>
      <c r="S237">
        <v>5.133</v>
      </c>
      <c r="T237">
        <v>500</v>
      </c>
      <c r="U237">
        <v>250</v>
      </c>
      <c r="V237">
        <v>250</v>
      </c>
      <c r="W237">
        <v>1</v>
      </c>
      <c r="X237" t="s">
        <v>402</v>
      </c>
      <c r="Y237">
        <v>103389394</v>
      </c>
      <c r="Z237" t="s">
        <v>760</v>
      </c>
      <c r="AA237" t="s">
        <v>741</v>
      </c>
    </row>
    <row r="238" spans="1:27" x14ac:dyDescent="0.2">
      <c r="A238" t="s">
        <v>764</v>
      </c>
      <c r="B238" t="s">
        <v>520</v>
      </c>
      <c r="D238" s="4">
        <v>8</v>
      </c>
      <c r="E238" s="4">
        <v>10516911</v>
      </c>
      <c r="F238" s="3">
        <v>2.9999999999999997E-8</v>
      </c>
      <c r="H238">
        <v>0.88</v>
      </c>
      <c r="J238" t="s">
        <v>16</v>
      </c>
      <c r="L238" t="s">
        <v>16</v>
      </c>
      <c r="M238" t="s">
        <v>16</v>
      </c>
      <c r="N238" t="s">
        <v>382</v>
      </c>
      <c r="O238" t="s">
        <v>383</v>
      </c>
      <c r="P238" t="s">
        <v>401</v>
      </c>
      <c r="Q238">
        <v>24529757</v>
      </c>
      <c r="R238" t="s">
        <v>775</v>
      </c>
      <c r="S238">
        <v>5.133</v>
      </c>
      <c r="T238">
        <v>500</v>
      </c>
      <c r="U238">
        <v>250</v>
      </c>
      <c r="V238">
        <v>250</v>
      </c>
      <c r="W238">
        <v>1</v>
      </c>
      <c r="X238" t="s">
        <v>402</v>
      </c>
      <c r="Z238" t="s">
        <v>760</v>
      </c>
    </row>
    <row r="239" spans="1:27" x14ac:dyDescent="0.2">
      <c r="A239" t="s">
        <v>764</v>
      </c>
      <c r="B239" t="s">
        <v>521</v>
      </c>
      <c r="D239">
        <v>10</v>
      </c>
      <c r="E239">
        <v>2789594</v>
      </c>
      <c r="F239" s="3">
        <v>2.0000000000000001E-9</v>
      </c>
      <c r="H239">
        <v>0.19</v>
      </c>
      <c r="I239" s="7">
        <v>3.1004</v>
      </c>
      <c r="J239" t="s">
        <v>16</v>
      </c>
      <c r="K239" s="7" cm="1">
        <f t="array" ref="K239:K240">LN(I239:I240)</f>
        <v>1.1315311354252193</v>
      </c>
      <c r="L239" t="s">
        <v>522</v>
      </c>
      <c r="M239" t="s">
        <v>16</v>
      </c>
      <c r="N239" t="s">
        <v>382</v>
      </c>
      <c r="O239" t="s">
        <v>383</v>
      </c>
      <c r="P239" t="s">
        <v>401</v>
      </c>
      <c r="Q239">
        <v>24529757</v>
      </c>
      <c r="R239" t="s">
        <v>775</v>
      </c>
      <c r="S239">
        <v>5.133</v>
      </c>
      <c r="T239">
        <v>500</v>
      </c>
      <c r="U239">
        <v>250</v>
      </c>
      <c r="V239">
        <v>250</v>
      </c>
      <c r="W239">
        <v>1</v>
      </c>
      <c r="X239" t="s">
        <v>402</v>
      </c>
      <c r="Y239">
        <v>2747402</v>
      </c>
      <c r="Z239" t="s">
        <v>760</v>
      </c>
      <c r="AA239" t="s">
        <v>741</v>
      </c>
    </row>
    <row r="240" spans="1:27" x14ac:dyDescent="0.2">
      <c r="A240" t="s">
        <v>764</v>
      </c>
      <c r="B240" t="s">
        <v>523</v>
      </c>
      <c r="D240">
        <v>11</v>
      </c>
      <c r="E240">
        <v>133392294</v>
      </c>
      <c r="F240" s="3">
        <v>8.0000000000000005E-9</v>
      </c>
      <c r="H240">
        <v>0.21</v>
      </c>
      <c r="I240" s="7">
        <v>2.7926000000000002</v>
      </c>
      <c r="J240" t="s">
        <v>16</v>
      </c>
      <c r="K240" s="7">
        <v>1.0269730615259574</v>
      </c>
      <c r="L240" t="s">
        <v>524</v>
      </c>
      <c r="M240" t="s">
        <v>525</v>
      </c>
      <c r="N240" t="s">
        <v>382</v>
      </c>
      <c r="O240" t="s">
        <v>383</v>
      </c>
      <c r="P240" t="s">
        <v>401</v>
      </c>
      <c r="Q240">
        <v>24529757</v>
      </c>
      <c r="R240" t="s">
        <v>775</v>
      </c>
      <c r="S240">
        <v>5.133</v>
      </c>
      <c r="T240">
        <v>500</v>
      </c>
      <c r="U240">
        <v>250</v>
      </c>
      <c r="V240">
        <v>250</v>
      </c>
      <c r="W240">
        <v>1</v>
      </c>
      <c r="X240" t="s">
        <v>402</v>
      </c>
      <c r="Y240">
        <v>133522399</v>
      </c>
      <c r="Z240" t="s">
        <v>760</v>
      </c>
      <c r="AA240" t="s">
        <v>741</v>
      </c>
    </row>
    <row r="241" spans="1:27" x14ac:dyDescent="0.2">
      <c r="A241" t="s">
        <v>764</v>
      </c>
      <c r="B241" t="s">
        <v>526</v>
      </c>
      <c r="D241" s="4">
        <v>17</v>
      </c>
      <c r="E241" s="4">
        <v>19641744</v>
      </c>
      <c r="F241" s="3">
        <v>4.0000000000000001E-8</v>
      </c>
      <c r="H241">
        <v>0.88</v>
      </c>
      <c r="J241" t="s">
        <v>16</v>
      </c>
      <c r="L241" t="s">
        <v>16</v>
      </c>
      <c r="M241" t="s">
        <v>16</v>
      </c>
      <c r="N241" t="s">
        <v>382</v>
      </c>
      <c r="O241" t="s">
        <v>383</v>
      </c>
      <c r="P241" t="s">
        <v>401</v>
      </c>
      <c r="Q241">
        <v>24529757</v>
      </c>
      <c r="R241" t="s">
        <v>775</v>
      </c>
      <c r="S241">
        <v>5.133</v>
      </c>
      <c r="T241">
        <v>500</v>
      </c>
      <c r="U241">
        <v>250</v>
      </c>
      <c r="V241">
        <v>250</v>
      </c>
      <c r="W241">
        <v>1</v>
      </c>
      <c r="X241" t="s">
        <v>402</v>
      </c>
      <c r="Z241" t="s">
        <v>760</v>
      </c>
    </row>
    <row r="242" spans="1:27" x14ac:dyDescent="0.2">
      <c r="A242" t="s">
        <v>764</v>
      </c>
      <c r="B242" t="s">
        <v>527</v>
      </c>
      <c r="D242">
        <v>21</v>
      </c>
      <c r="E242">
        <v>43036969</v>
      </c>
      <c r="F242" s="3">
        <v>2.0000000000000001E-9</v>
      </c>
      <c r="H242">
        <v>0.05</v>
      </c>
      <c r="J242" t="s">
        <v>16</v>
      </c>
      <c r="L242" t="s">
        <v>16</v>
      </c>
      <c r="M242" t="s">
        <v>528</v>
      </c>
      <c r="N242" t="s">
        <v>382</v>
      </c>
      <c r="O242" t="s">
        <v>383</v>
      </c>
      <c r="P242" t="s">
        <v>401</v>
      </c>
      <c r="Q242">
        <v>24529757</v>
      </c>
      <c r="R242" t="s">
        <v>775</v>
      </c>
      <c r="S242">
        <v>5.133</v>
      </c>
      <c r="T242">
        <v>500</v>
      </c>
      <c r="U242">
        <v>250</v>
      </c>
      <c r="V242">
        <v>250</v>
      </c>
      <c r="W242">
        <v>1</v>
      </c>
      <c r="X242" t="s">
        <v>402</v>
      </c>
      <c r="Y242">
        <v>41616809</v>
      </c>
      <c r="Z242" t="s">
        <v>760</v>
      </c>
      <c r="AA242" t="s">
        <v>741</v>
      </c>
    </row>
    <row r="243" spans="1:27" x14ac:dyDescent="0.2">
      <c r="A243" t="s">
        <v>764</v>
      </c>
      <c r="B243" t="s">
        <v>529</v>
      </c>
      <c r="D243">
        <v>8</v>
      </c>
      <c r="E243">
        <v>2128786</v>
      </c>
      <c r="F243" s="3">
        <v>7.9999999999999996E-7</v>
      </c>
      <c r="J243" t="s">
        <v>16</v>
      </c>
      <c r="L243" t="s">
        <v>16</v>
      </c>
      <c r="M243" t="s">
        <v>530</v>
      </c>
      <c r="N243" t="s">
        <v>382</v>
      </c>
      <c r="O243" t="s">
        <v>383</v>
      </c>
      <c r="P243" t="s">
        <v>401</v>
      </c>
      <c r="Q243">
        <v>24529757</v>
      </c>
      <c r="R243" t="s">
        <v>775</v>
      </c>
      <c r="S243">
        <v>5.133</v>
      </c>
      <c r="T243">
        <v>500</v>
      </c>
      <c r="U243">
        <v>250</v>
      </c>
      <c r="V243">
        <v>250</v>
      </c>
      <c r="W243">
        <v>1</v>
      </c>
      <c r="X243" t="s">
        <v>402</v>
      </c>
      <c r="Y243">
        <v>2180583</v>
      </c>
      <c r="Z243" t="s">
        <v>760</v>
      </c>
    </row>
    <row r="244" spans="1:27" x14ac:dyDescent="0.2">
      <c r="A244" t="s">
        <v>764</v>
      </c>
      <c r="B244" t="s">
        <v>531</v>
      </c>
      <c r="D244">
        <v>12</v>
      </c>
      <c r="E244">
        <v>3327167</v>
      </c>
      <c r="F244" s="3">
        <v>3.0000000000000001E-6</v>
      </c>
      <c r="J244" t="s">
        <v>16</v>
      </c>
      <c r="L244" t="s">
        <v>16</v>
      </c>
      <c r="M244" t="s">
        <v>532</v>
      </c>
      <c r="N244" t="s">
        <v>382</v>
      </c>
      <c r="O244" t="s">
        <v>383</v>
      </c>
      <c r="P244" t="s">
        <v>401</v>
      </c>
      <c r="Q244">
        <v>24529757</v>
      </c>
      <c r="R244" t="s">
        <v>775</v>
      </c>
      <c r="S244">
        <v>5.133</v>
      </c>
      <c r="T244">
        <v>500</v>
      </c>
      <c r="U244">
        <v>250</v>
      </c>
      <c r="V244">
        <v>250</v>
      </c>
      <c r="W244">
        <v>1</v>
      </c>
      <c r="X244" t="s">
        <v>402</v>
      </c>
      <c r="Y244">
        <v>3218001</v>
      </c>
      <c r="Z244" t="s">
        <v>760</v>
      </c>
    </row>
    <row r="245" spans="1:27" x14ac:dyDescent="0.2">
      <c r="A245" t="s">
        <v>764</v>
      </c>
      <c r="B245" t="s">
        <v>533</v>
      </c>
      <c r="D245" s="4">
        <v>2</v>
      </c>
      <c r="E245" s="4">
        <v>3459190</v>
      </c>
      <c r="F245" s="3">
        <v>2.9999999999999999E-7</v>
      </c>
      <c r="J245" t="s">
        <v>16</v>
      </c>
      <c r="L245" t="s">
        <v>16</v>
      </c>
      <c r="M245" t="s">
        <v>16</v>
      </c>
      <c r="N245" t="s">
        <v>382</v>
      </c>
      <c r="O245" t="s">
        <v>383</v>
      </c>
      <c r="P245" t="s">
        <v>401</v>
      </c>
      <c r="Q245">
        <v>24529757</v>
      </c>
      <c r="R245" t="s">
        <v>775</v>
      </c>
      <c r="S245">
        <v>5.133</v>
      </c>
      <c r="T245">
        <v>500</v>
      </c>
      <c r="U245">
        <v>250</v>
      </c>
      <c r="V245">
        <v>250</v>
      </c>
      <c r="W245">
        <v>1</v>
      </c>
      <c r="X245" t="s">
        <v>402</v>
      </c>
      <c r="Z245" t="s">
        <v>760</v>
      </c>
    </row>
    <row r="246" spans="1:27" x14ac:dyDescent="0.2">
      <c r="A246" t="s">
        <v>764</v>
      </c>
      <c r="B246" t="s">
        <v>534</v>
      </c>
      <c r="D246" s="4">
        <v>8</v>
      </c>
      <c r="E246" s="4">
        <v>4754792</v>
      </c>
      <c r="F246" s="3">
        <v>1.9999999999999999E-7</v>
      </c>
      <c r="J246" t="s">
        <v>16</v>
      </c>
      <c r="L246" t="s">
        <v>16</v>
      </c>
      <c r="M246" t="s">
        <v>16</v>
      </c>
      <c r="N246" t="s">
        <v>382</v>
      </c>
      <c r="O246" t="s">
        <v>383</v>
      </c>
      <c r="P246" t="s">
        <v>401</v>
      </c>
      <c r="Q246">
        <v>24529757</v>
      </c>
      <c r="R246" t="s">
        <v>775</v>
      </c>
      <c r="S246">
        <v>5.133</v>
      </c>
      <c r="T246">
        <v>500</v>
      </c>
      <c r="U246">
        <v>250</v>
      </c>
      <c r="V246">
        <v>250</v>
      </c>
      <c r="W246">
        <v>1</v>
      </c>
      <c r="X246" t="s">
        <v>402</v>
      </c>
      <c r="Z246" t="s">
        <v>760</v>
      </c>
    </row>
    <row r="247" spans="1:27" x14ac:dyDescent="0.2">
      <c r="A247" t="s">
        <v>764</v>
      </c>
      <c r="B247" t="s">
        <v>535</v>
      </c>
      <c r="D247">
        <v>10</v>
      </c>
      <c r="E247">
        <v>5608202</v>
      </c>
      <c r="F247" s="3">
        <v>3.0000000000000001E-6</v>
      </c>
      <c r="J247" t="s">
        <v>16</v>
      </c>
      <c r="L247" t="s">
        <v>16</v>
      </c>
      <c r="M247" t="s">
        <v>536</v>
      </c>
      <c r="N247" t="s">
        <v>382</v>
      </c>
      <c r="O247" t="s">
        <v>383</v>
      </c>
      <c r="P247" t="s">
        <v>401</v>
      </c>
      <c r="Q247">
        <v>24529757</v>
      </c>
      <c r="R247" t="s">
        <v>775</v>
      </c>
      <c r="S247">
        <v>5.133</v>
      </c>
      <c r="T247">
        <v>500</v>
      </c>
      <c r="U247">
        <v>250</v>
      </c>
      <c r="V247">
        <v>250</v>
      </c>
      <c r="W247">
        <v>1</v>
      </c>
      <c r="X247" t="s">
        <v>402</v>
      </c>
      <c r="Y247">
        <v>5566239</v>
      </c>
      <c r="Z247" t="s">
        <v>760</v>
      </c>
    </row>
    <row r="248" spans="1:27" x14ac:dyDescent="0.2">
      <c r="A248" t="s">
        <v>764</v>
      </c>
      <c r="B248" t="s">
        <v>537</v>
      </c>
      <c r="D248">
        <v>6</v>
      </c>
      <c r="E248">
        <v>10403650</v>
      </c>
      <c r="F248" s="3">
        <v>3.0000000000000001E-6</v>
      </c>
      <c r="J248" t="s">
        <v>16</v>
      </c>
      <c r="L248" t="s">
        <v>16</v>
      </c>
      <c r="M248" t="s">
        <v>538</v>
      </c>
      <c r="N248" t="s">
        <v>382</v>
      </c>
      <c r="O248" t="s">
        <v>383</v>
      </c>
      <c r="P248" t="s">
        <v>401</v>
      </c>
      <c r="Q248">
        <v>24529757</v>
      </c>
      <c r="R248" t="s">
        <v>775</v>
      </c>
      <c r="S248">
        <v>5.133</v>
      </c>
      <c r="T248">
        <v>500</v>
      </c>
      <c r="U248">
        <v>250</v>
      </c>
      <c r="V248">
        <v>250</v>
      </c>
      <c r="W248">
        <v>1</v>
      </c>
      <c r="X248" t="s">
        <v>402</v>
      </c>
      <c r="Y248">
        <v>10403417</v>
      </c>
      <c r="Z248" t="s">
        <v>760</v>
      </c>
    </row>
    <row r="249" spans="1:27" x14ac:dyDescent="0.2">
      <c r="A249" t="s">
        <v>764</v>
      </c>
      <c r="B249" t="s">
        <v>539</v>
      </c>
      <c r="D249">
        <v>1</v>
      </c>
      <c r="E249">
        <v>26929002</v>
      </c>
      <c r="F249" s="3">
        <v>9.9999999999999995E-7</v>
      </c>
      <c r="J249" t="s">
        <v>16</v>
      </c>
      <c r="L249" t="s">
        <v>16</v>
      </c>
      <c r="M249" t="s">
        <v>540</v>
      </c>
      <c r="N249" t="s">
        <v>382</v>
      </c>
      <c r="O249" t="s">
        <v>383</v>
      </c>
      <c r="P249" t="s">
        <v>401</v>
      </c>
      <c r="Q249">
        <v>24529757</v>
      </c>
      <c r="R249" t="s">
        <v>775</v>
      </c>
      <c r="S249">
        <v>5.133</v>
      </c>
      <c r="T249">
        <v>500</v>
      </c>
      <c r="U249">
        <v>250</v>
      </c>
      <c r="V249">
        <v>250</v>
      </c>
      <c r="W249">
        <v>1</v>
      </c>
      <c r="X249" t="s">
        <v>402</v>
      </c>
      <c r="Y249">
        <v>26602511</v>
      </c>
      <c r="Z249" t="s">
        <v>760</v>
      </c>
    </row>
    <row r="250" spans="1:27" x14ac:dyDescent="0.2">
      <c r="A250" t="s">
        <v>764</v>
      </c>
      <c r="B250" t="s">
        <v>541</v>
      </c>
      <c r="D250">
        <v>1</v>
      </c>
      <c r="E250">
        <v>177621201</v>
      </c>
      <c r="F250" s="3">
        <v>3.0000000000000001E-6</v>
      </c>
      <c r="J250" t="s">
        <v>16</v>
      </c>
      <c r="L250" t="s">
        <v>16</v>
      </c>
      <c r="M250" t="s">
        <v>173</v>
      </c>
      <c r="N250" t="s">
        <v>382</v>
      </c>
      <c r="O250" t="s">
        <v>383</v>
      </c>
      <c r="P250" t="s">
        <v>401</v>
      </c>
      <c r="Q250">
        <v>24529757</v>
      </c>
      <c r="R250" t="s">
        <v>775</v>
      </c>
      <c r="S250">
        <v>5.133</v>
      </c>
      <c r="T250">
        <v>500</v>
      </c>
      <c r="U250">
        <v>250</v>
      </c>
      <c r="V250">
        <v>250</v>
      </c>
      <c r="W250">
        <v>1</v>
      </c>
      <c r="X250" t="s">
        <v>402</v>
      </c>
      <c r="Y250">
        <v>177652066</v>
      </c>
      <c r="Z250" t="s">
        <v>760</v>
      </c>
    </row>
    <row r="251" spans="1:27" x14ac:dyDescent="0.2">
      <c r="A251" t="s">
        <v>764</v>
      </c>
      <c r="B251" t="s">
        <v>542</v>
      </c>
      <c r="D251">
        <v>1</v>
      </c>
      <c r="E251">
        <v>90112431</v>
      </c>
      <c r="F251" s="3">
        <v>5.0000000000000004E-6</v>
      </c>
      <c r="J251" t="s">
        <v>16</v>
      </c>
      <c r="L251" t="s">
        <v>16</v>
      </c>
      <c r="M251" t="s">
        <v>543</v>
      </c>
      <c r="N251" t="s">
        <v>382</v>
      </c>
      <c r="O251" t="s">
        <v>383</v>
      </c>
      <c r="P251" t="s">
        <v>401</v>
      </c>
      <c r="Q251">
        <v>24529757</v>
      </c>
      <c r="R251" t="s">
        <v>775</v>
      </c>
      <c r="S251">
        <v>5.133</v>
      </c>
      <c r="T251">
        <v>500</v>
      </c>
      <c r="U251">
        <v>250</v>
      </c>
      <c r="V251">
        <v>250</v>
      </c>
      <c r="W251">
        <v>1</v>
      </c>
      <c r="X251" t="s">
        <v>402</v>
      </c>
      <c r="Y251">
        <v>89646872</v>
      </c>
      <c r="Z251" t="s">
        <v>760</v>
      </c>
    </row>
    <row r="252" spans="1:27" x14ac:dyDescent="0.2">
      <c r="A252" t="s">
        <v>764</v>
      </c>
      <c r="B252" t="s">
        <v>544</v>
      </c>
      <c r="D252" s="4">
        <v>1</v>
      </c>
      <c r="E252" s="4">
        <v>100732601</v>
      </c>
      <c r="F252" s="3">
        <v>9.0000000000000002E-6</v>
      </c>
      <c r="J252" t="s">
        <v>16</v>
      </c>
      <c r="L252" t="s">
        <v>16</v>
      </c>
      <c r="M252" t="s">
        <v>16</v>
      </c>
      <c r="N252" t="s">
        <v>382</v>
      </c>
      <c r="O252" t="s">
        <v>383</v>
      </c>
      <c r="P252" t="s">
        <v>401</v>
      </c>
      <c r="Q252">
        <v>24529757</v>
      </c>
      <c r="R252" t="s">
        <v>775</v>
      </c>
      <c r="S252">
        <v>5.133</v>
      </c>
      <c r="T252">
        <v>500</v>
      </c>
      <c r="U252">
        <v>250</v>
      </c>
      <c r="V252">
        <v>250</v>
      </c>
      <c r="W252">
        <v>1</v>
      </c>
      <c r="X252" t="s">
        <v>402</v>
      </c>
      <c r="Z252" t="s">
        <v>760</v>
      </c>
    </row>
    <row r="253" spans="1:27" x14ac:dyDescent="0.2">
      <c r="A253" t="s">
        <v>764</v>
      </c>
      <c r="B253" t="s">
        <v>545</v>
      </c>
      <c r="D253" s="4">
        <v>1</v>
      </c>
      <c r="E253" s="4">
        <v>220527283</v>
      </c>
      <c r="F253" s="3">
        <v>9.0000000000000002E-6</v>
      </c>
      <c r="J253" t="s">
        <v>16</v>
      </c>
      <c r="L253" t="s">
        <v>16</v>
      </c>
      <c r="M253" t="s">
        <v>16</v>
      </c>
      <c r="N253" t="s">
        <v>382</v>
      </c>
      <c r="O253" t="s">
        <v>383</v>
      </c>
      <c r="P253" t="s">
        <v>401</v>
      </c>
      <c r="Q253">
        <v>24529757</v>
      </c>
      <c r="R253" t="s">
        <v>775</v>
      </c>
      <c r="S253">
        <v>5.133</v>
      </c>
      <c r="T253">
        <v>500</v>
      </c>
      <c r="U253">
        <v>250</v>
      </c>
      <c r="V253">
        <v>250</v>
      </c>
      <c r="W253">
        <v>1</v>
      </c>
      <c r="X253" t="s">
        <v>402</v>
      </c>
      <c r="Z253" t="s">
        <v>760</v>
      </c>
    </row>
    <row r="254" spans="1:27" x14ac:dyDescent="0.2">
      <c r="A254" t="s">
        <v>764</v>
      </c>
      <c r="B254" t="s">
        <v>546</v>
      </c>
      <c r="D254">
        <v>2</v>
      </c>
      <c r="E254">
        <v>20334723</v>
      </c>
      <c r="F254" s="3">
        <v>3.0000000000000001E-6</v>
      </c>
      <c r="J254" t="s">
        <v>16</v>
      </c>
      <c r="L254" t="s">
        <v>16</v>
      </c>
      <c r="M254" t="s">
        <v>547</v>
      </c>
      <c r="N254" t="s">
        <v>382</v>
      </c>
      <c r="O254" t="s">
        <v>383</v>
      </c>
      <c r="P254" t="s">
        <v>401</v>
      </c>
      <c r="Q254">
        <v>24529757</v>
      </c>
      <c r="R254" t="s">
        <v>775</v>
      </c>
      <c r="S254">
        <v>5.133</v>
      </c>
      <c r="T254">
        <v>500</v>
      </c>
      <c r="U254">
        <v>250</v>
      </c>
      <c r="V254">
        <v>250</v>
      </c>
      <c r="W254">
        <v>1</v>
      </c>
      <c r="X254" t="s">
        <v>402</v>
      </c>
      <c r="Y254">
        <v>20134962</v>
      </c>
      <c r="Z254" t="s">
        <v>760</v>
      </c>
    </row>
    <row r="255" spans="1:27" x14ac:dyDescent="0.2">
      <c r="A255" t="s">
        <v>764</v>
      </c>
      <c r="B255" t="s">
        <v>548</v>
      </c>
      <c r="D255">
        <v>2</v>
      </c>
      <c r="E255">
        <v>48824501</v>
      </c>
      <c r="F255" s="3">
        <v>3.0000000000000001E-6</v>
      </c>
      <c r="J255" t="s">
        <v>16</v>
      </c>
      <c r="L255" t="s">
        <v>16</v>
      </c>
      <c r="M255" t="s">
        <v>549</v>
      </c>
      <c r="N255" t="s">
        <v>382</v>
      </c>
      <c r="O255" t="s">
        <v>383</v>
      </c>
      <c r="P255" t="s">
        <v>401</v>
      </c>
      <c r="Q255">
        <v>24529757</v>
      </c>
      <c r="R255" t="s">
        <v>775</v>
      </c>
      <c r="S255">
        <v>5.133</v>
      </c>
      <c r="T255">
        <v>500</v>
      </c>
      <c r="U255">
        <v>250</v>
      </c>
      <c r="V255">
        <v>250</v>
      </c>
      <c r="W255">
        <v>1</v>
      </c>
      <c r="X255" t="s">
        <v>402</v>
      </c>
      <c r="Y255">
        <v>48597362</v>
      </c>
      <c r="Z255" t="s">
        <v>760</v>
      </c>
    </row>
    <row r="256" spans="1:27" x14ac:dyDescent="0.2">
      <c r="A256" t="s">
        <v>764</v>
      </c>
      <c r="B256" t="s">
        <v>550</v>
      </c>
      <c r="D256">
        <v>2</v>
      </c>
      <c r="E256">
        <v>172680678</v>
      </c>
      <c r="F256" s="3">
        <v>9.9999999999999995E-7</v>
      </c>
      <c r="J256" t="s">
        <v>16</v>
      </c>
      <c r="L256" t="s">
        <v>16</v>
      </c>
      <c r="M256" t="s">
        <v>551</v>
      </c>
      <c r="N256" t="s">
        <v>382</v>
      </c>
      <c r="O256" t="s">
        <v>383</v>
      </c>
      <c r="P256" t="s">
        <v>401</v>
      </c>
      <c r="Q256">
        <v>24529757</v>
      </c>
      <c r="R256" t="s">
        <v>775</v>
      </c>
      <c r="S256">
        <v>5.133</v>
      </c>
      <c r="T256">
        <v>500</v>
      </c>
      <c r="U256">
        <v>250</v>
      </c>
      <c r="V256">
        <v>250</v>
      </c>
      <c r="W256">
        <v>1</v>
      </c>
      <c r="X256" t="s">
        <v>402</v>
      </c>
      <c r="Y256">
        <v>171824168</v>
      </c>
      <c r="Z256" t="s">
        <v>760</v>
      </c>
    </row>
    <row r="257" spans="1:26" x14ac:dyDescent="0.2">
      <c r="A257" t="s">
        <v>764</v>
      </c>
      <c r="B257" t="s">
        <v>552</v>
      </c>
      <c r="D257">
        <v>2</v>
      </c>
      <c r="E257">
        <v>209455766</v>
      </c>
      <c r="F257" s="3">
        <v>3.0000000000000001E-6</v>
      </c>
      <c r="J257" t="s">
        <v>16</v>
      </c>
      <c r="L257" t="s">
        <v>16</v>
      </c>
      <c r="M257" t="s">
        <v>553</v>
      </c>
      <c r="N257" t="s">
        <v>382</v>
      </c>
      <c r="O257" t="s">
        <v>383</v>
      </c>
      <c r="P257" t="s">
        <v>401</v>
      </c>
      <c r="Q257">
        <v>24529757</v>
      </c>
      <c r="R257" t="s">
        <v>775</v>
      </c>
      <c r="S257">
        <v>5.133</v>
      </c>
      <c r="T257">
        <v>500</v>
      </c>
      <c r="U257">
        <v>250</v>
      </c>
      <c r="V257">
        <v>250</v>
      </c>
      <c r="W257">
        <v>1</v>
      </c>
      <c r="X257" t="s">
        <v>402</v>
      </c>
      <c r="Y257">
        <v>208591041</v>
      </c>
      <c r="Z257" t="s">
        <v>760</v>
      </c>
    </row>
    <row r="258" spans="1:26" x14ac:dyDescent="0.2">
      <c r="A258" t="s">
        <v>764</v>
      </c>
      <c r="B258" t="s">
        <v>554</v>
      </c>
      <c r="D258">
        <v>1</v>
      </c>
      <c r="E258">
        <v>29345027</v>
      </c>
      <c r="F258" s="3">
        <v>6.0000000000000002E-6</v>
      </c>
      <c r="J258" t="s">
        <v>16</v>
      </c>
      <c r="L258" t="s">
        <v>16</v>
      </c>
      <c r="M258" t="s">
        <v>555</v>
      </c>
      <c r="N258" t="s">
        <v>382</v>
      </c>
      <c r="O258" t="s">
        <v>383</v>
      </c>
      <c r="P258" t="s">
        <v>401</v>
      </c>
      <c r="Q258">
        <v>24529757</v>
      </c>
      <c r="R258" t="s">
        <v>775</v>
      </c>
      <c r="S258">
        <v>5.133</v>
      </c>
      <c r="T258">
        <v>500</v>
      </c>
      <c r="U258">
        <v>250</v>
      </c>
      <c r="V258">
        <v>250</v>
      </c>
      <c r="W258">
        <v>1</v>
      </c>
      <c r="X258" t="s">
        <v>402</v>
      </c>
      <c r="Y258">
        <v>29018515</v>
      </c>
      <c r="Z258" t="s">
        <v>760</v>
      </c>
    </row>
    <row r="259" spans="1:26" x14ac:dyDescent="0.2">
      <c r="A259" t="s">
        <v>764</v>
      </c>
      <c r="B259" t="s">
        <v>556</v>
      </c>
      <c r="D259" s="4">
        <v>1</v>
      </c>
      <c r="E259" s="4">
        <v>68665849</v>
      </c>
      <c r="F259" s="3">
        <v>5.0000000000000004E-6</v>
      </c>
      <c r="J259" t="s">
        <v>16</v>
      </c>
      <c r="L259" t="s">
        <v>16</v>
      </c>
      <c r="M259" t="s">
        <v>16</v>
      </c>
      <c r="N259" t="s">
        <v>382</v>
      </c>
      <c r="O259" t="s">
        <v>383</v>
      </c>
      <c r="P259" t="s">
        <v>401</v>
      </c>
      <c r="Q259">
        <v>24529757</v>
      </c>
      <c r="R259" t="s">
        <v>775</v>
      </c>
      <c r="S259">
        <v>5.133</v>
      </c>
      <c r="T259">
        <v>500</v>
      </c>
      <c r="U259">
        <v>250</v>
      </c>
      <c r="V259">
        <v>250</v>
      </c>
      <c r="W259">
        <v>1</v>
      </c>
      <c r="X259" t="s">
        <v>402</v>
      </c>
      <c r="Z259" t="s">
        <v>760</v>
      </c>
    </row>
    <row r="260" spans="1:26" x14ac:dyDescent="0.2">
      <c r="A260" t="s">
        <v>764</v>
      </c>
      <c r="B260" t="s">
        <v>557</v>
      </c>
      <c r="D260">
        <v>1</v>
      </c>
      <c r="E260">
        <v>188085833</v>
      </c>
      <c r="F260" s="3">
        <v>7.9999999999999996E-6</v>
      </c>
      <c r="J260" t="s">
        <v>16</v>
      </c>
      <c r="L260" t="s">
        <v>16</v>
      </c>
      <c r="M260" t="s">
        <v>558</v>
      </c>
      <c r="N260" t="s">
        <v>382</v>
      </c>
      <c r="O260" t="s">
        <v>383</v>
      </c>
      <c r="P260" t="s">
        <v>401</v>
      </c>
      <c r="Q260">
        <v>24529757</v>
      </c>
      <c r="R260" t="s">
        <v>775</v>
      </c>
      <c r="S260">
        <v>5.133</v>
      </c>
      <c r="T260">
        <v>500</v>
      </c>
      <c r="U260">
        <v>250</v>
      </c>
      <c r="V260">
        <v>250</v>
      </c>
      <c r="W260">
        <v>1</v>
      </c>
      <c r="X260" t="s">
        <v>402</v>
      </c>
      <c r="Y260">
        <v>188116702</v>
      </c>
      <c r="Z260" t="s">
        <v>760</v>
      </c>
    </row>
    <row r="261" spans="1:26" x14ac:dyDescent="0.2">
      <c r="A261" t="s">
        <v>764</v>
      </c>
      <c r="B261" t="s">
        <v>559</v>
      </c>
      <c r="D261">
        <v>1</v>
      </c>
      <c r="E261">
        <v>204877652</v>
      </c>
      <c r="F261" s="3">
        <v>7.9999999999999996E-6</v>
      </c>
      <c r="J261" t="s">
        <v>16</v>
      </c>
      <c r="L261" t="s">
        <v>16</v>
      </c>
      <c r="M261" t="s">
        <v>560</v>
      </c>
      <c r="N261" t="s">
        <v>382</v>
      </c>
      <c r="O261" t="s">
        <v>383</v>
      </c>
      <c r="P261" t="s">
        <v>401</v>
      </c>
      <c r="Q261">
        <v>24529757</v>
      </c>
      <c r="R261" t="s">
        <v>775</v>
      </c>
      <c r="S261">
        <v>5.133</v>
      </c>
      <c r="T261">
        <v>500</v>
      </c>
      <c r="U261">
        <v>250</v>
      </c>
      <c r="V261">
        <v>250</v>
      </c>
      <c r="W261">
        <v>1</v>
      </c>
      <c r="X261" t="s">
        <v>402</v>
      </c>
      <c r="Y261">
        <v>204908524</v>
      </c>
      <c r="Z261" t="s">
        <v>760</v>
      </c>
    </row>
    <row r="262" spans="1:26" x14ac:dyDescent="0.2">
      <c r="A262" t="s">
        <v>764</v>
      </c>
      <c r="B262" t="s">
        <v>561</v>
      </c>
      <c r="D262" s="4">
        <v>1</v>
      </c>
      <c r="E262" s="4">
        <v>232177834</v>
      </c>
      <c r="F262" s="3">
        <v>5.0000000000000004E-6</v>
      </c>
      <c r="J262" t="s">
        <v>16</v>
      </c>
      <c r="L262" t="s">
        <v>16</v>
      </c>
      <c r="M262" t="s">
        <v>16</v>
      </c>
      <c r="N262" t="s">
        <v>382</v>
      </c>
      <c r="O262" t="s">
        <v>383</v>
      </c>
      <c r="P262" t="s">
        <v>401</v>
      </c>
      <c r="Q262">
        <v>24529757</v>
      </c>
      <c r="R262" t="s">
        <v>775</v>
      </c>
      <c r="S262">
        <v>5.133</v>
      </c>
      <c r="T262">
        <v>500</v>
      </c>
      <c r="U262">
        <v>250</v>
      </c>
      <c r="V262">
        <v>250</v>
      </c>
      <c r="W262">
        <v>1</v>
      </c>
      <c r="X262" t="s">
        <v>402</v>
      </c>
      <c r="Z262" t="s">
        <v>760</v>
      </c>
    </row>
    <row r="263" spans="1:26" x14ac:dyDescent="0.2">
      <c r="A263" t="s">
        <v>764</v>
      </c>
      <c r="B263" t="s">
        <v>562</v>
      </c>
      <c r="D263" s="4">
        <v>8</v>
      </c>
      <c r="E263" s="4">
        <v>101478385</v>
      </c>
      <c r="F263" s="3">
        <v>3.0000000000000001E-6</v>
      </c>
      <c r="J263" t="s">
        <v>16</v>
      </c>
      <c r="L263" t="s">
        <v>16</v>
      </c>
      <c r="M263" t="s">
        <v>16</v>
      </c>
      <c r="N263" t="s">
        <v>382</v>
      </c>
      <c r="O263" t="s">
        <v>383</v>
      </c>
      <c r="P263" t="s">
        <v>401</v>
      </c>
      <c r="Q263">
        <v>24529757</v>
      </c>
      <c r="R263" t="s">
        <v>775</v>
      </c>
      <c r="S263">
        <v>5.133</v>
      </c>
      <c r="T263">
        <v>500</v>
      </c>
      <c r="U263">
        <v>250</v>
      </c>
      <c r="V263">
        <v>250</v>
      </c>
      <c r="W263">
        <v>1</v>
      </c>
      <c r="X263" t="s">
        <v>402</v>
      </c>
      <c r="Z263" t="s">
        <v>760</v>
      </c>
    </row>
    <row r="264" spans="1:26" x14ac:dyDescent="0.2">
      <c r="A264" t="s">
        <v>764</v>
      </c>
      <c r="B264" t="s">
        <v>563</v>
      </c>
      <c r="D264">
        <v>8</v>
      </c>
      <c r="E264">
        <v>128713873</v>
      </c>
      <c r="F264" s="3">
        <v>3.0000000000000001E-6</v>
      </c>
      <c r="J264" t="s">
        <v>16</v>
      </c>
      <c r="L264" t="s">
        <v>16</v>
      </c>
      <c r="M264" t="s">
        <v>564</v>
      </c>
      <c r="N264" t="s">
        <v>382</v>
      </c>
      <c r="O264" t="s">
        <v>383</v>
      </c>
      <c r="P264" t="s">
        <v>401</v>
      </c>
      <c r="Q264">
        <v>24529757</v>
      </c>
      <c r="R264" t="s">
        <v>775</v>
      </c>
      <c r="S264">
        <v>5.133</v>
      </c>
      <c r="T264">
        <v>500</v>
      </c>
      <c r="U264">
        <v>250</v>
      </c>
      <c r="V264">
        <v>250</v>
      </c>
      <c r="W264">
        <v>1</v>
      </c>
      <c r="X264" t="s">
        <v>402</v>
      </c>
      <c r="Y264">
        <v>127701628</v>
      </c>
      <c r="Z264" t="s">
        <v>760</v>
      </c>
    </row>
    <row r="265" spans="1:26" x14ac:dyDescent="0.2">
      <c r="A265" t="s">
        <v>764</v>
      </c>
      <c r="B265" t="s">
        <v>565</v>
      </c>
      <c r="D265">
        <v>8</v>
      </c>
      <c r="E265">
        <v>129126853</v>
      </c>
      <c r="F265" s="3">
        <v>7.9999999999999996E-6</v>
      </c>
      <c r="J265" t="s">
        <v>16</v>
      </c>
      <c r="L265" t="s">
        <v>16</v>
      </c>
      <c r="M265" t="s">
        <v>566</v>
      </c>
      <c r="N265" t="s">
        <v>382</v>
      </c>
      <c r="O265" t="s">
        <v>383</v>
      </c>
      <c r="P265" t="s">
        <v>401</v>
      </c>
      <c r="Q265">
        <v>24529757</v>
      </c>
      <c r="R265" t="s">
        <v>775</v>
      </c>
      <c r="S265">
        <v>5.133</v>
      </c>
      <c r="T265">
        <v>500</v>
      </c>
      <c r="U265">
        <v>250</v>
      </c>
      <c r="V265">
        <v>250</v>
      </c>
      <c r="W265">
        <v>1</v>
      </c>
      <c r="X265" t="s">
        <v>402</v>
      </c>
      <c r="Y265">
        <v>128114607</v>
      </c>
      <c r="Z265" t="s">
        <v>760</v>
      </c>
    </row>
    <row r="266" spans="1:26" x14ac:dyDescent="0.2">
      <c r="A266" t="s">
        <v>764</v>
      </c>
      <c r="B266" t="s">
        <v>567</v>
      </c>
      <c r="D266">
        <v>9</v>
      </c>
      <c r="E266">
        <v>11951222</v>
      </c>
      <c r="F266" s="3">
        <v>7.9999999999999996E-6</v>
      </c>
      <c r="J266" t="s">
        <v>16</v>
      </c>
      <c r="L266" t="s">
        <v>16</v>
      </c>
      <c r="M266" t="s">
        <v>568</v>
      </c>
      <c r="N266" t="s">
        <v>382</v>
      </c>
      <c r="O266" t="s">
        <v>383</v>
      </c>
      <c r="P266" t="s">
        <v>401</v>
      </c>
      <c r="Q266">
        <v>24529757</v>
      </c>
      <c r="R266" t="s">
        <v>775</v>
      </c>
      <c r="S266">
        <v>5.133</v>
      </c>
      <c r="T266">
        <v>500</v>
      </c>
      <c r="U266">
        <v>250</v>
      </c>
      <c r="V266">
        <v>250</v>
      </c>
      <c r="W266">
        <v>1</v>
      </c>
      <c r="X266" t="s">
        <v>402</v>
      </c>
      <c r="Y266">
        <v>11951222</v>
      </c>
      <c r="Z266" t="s">
        <v>760</v>
      </c>
    </row>
    <row r="267" spans="1:26" x14ac:dyDescent="0.2">
      <c r="A267" t="s">
        <v>764</v>
      </c>
      <c r="B267" t="s">
        <v>569</v>
      </c>
      <c r="D267" s="4">
        <v>9</v>
      </c>
      <c r="E267" s="4">
        <v>17506554</v>
      </c>
      <c r="F267" s="3">
        <v>7.9999999999999996E-6</v>
      </c>
      <c r="J267" t="s">
        <v>16</v>
      </c>
      <c r="L267" t="s">
        <v>16</v>
      </c>
      <c r="M267" t="s">
        <v>16</v>
      </c>
      <c r="N267" t="s">
        <v>382</v>
      </c>
      <c r="O267" t="s">
        <v>383</v>
      </c>
      <c r="P267" t="s">
        <v>401</v>
      </c>
      <c r="Q267">
        <v>24529757</v>
      </c>
      <c r="R267" t="s">
        <v>775</v>
      </c>
      <c r="S267">
        <v>5.133</v>
      </c>
      <c r="T267">
        <v>500</v>
      </c>
      <c r="U267">
        <v>250</v>
      </c>
      <c r="V267">
        <v>250</v>
      </c>
      <c r="W267">
        <v>1</v>
      </c>
      <c r="X267" t="s">
        <v>402</v>
      </c>
      <c r="Z267" t="s">
        <v>760</v>
      </c>
    </row>
    <row r="268" spans="1:26" x14ac:dyDescent="0.2">
      <c r="A268" t="s">
        <v>764</v>
      </c>
      <c r="B268" t="s">
        <v>570</v>
      </c>
      <c r="D268">
        <v>9</v>
      </c>
      <c r="E268">
        <v>18657558</v>
      </c>
      <c r="F268" s="3">
        <v>1.9999999999999999E-6</v>
      </c>
      <c r="J268" t="s">
        <v>16</v>
      </c>
      <c r="L268" t="s">
        <v>16</v>
      </c>
      <c r="M268" t="s">
        <v>571</v>
      </c>
      <c r="N268" t="s">
        <v>382</v>
      </c>
      <c r="O268" t="s">
        <v>383</v>
      </c>
      <c r="P268" t="s">
        <v>401</v>
      </c>
      <c r="Q268">
        <v>24529757</v>
      </c>
      <c r="R268" t="s">
        <v>775</v>
      </c>
      <c r="S268">
        <v>5.133</v>
      </c>
      <c r="T268">
        <v>500</v>
      </c>
      <c r="U268">
        <v>250</v>
      </c>
      <c r="V268">
        <v>250</v>
      </c>
      <c r="W268">
        <v>1</v>
      </c>
      <c r="X268" t="s">
        <v>402</v>
      </c>
      <c r="Y268">
        <v>18657560</v>
      </c>
      <c r="Z268" t="s">
        <v>760</v>
      </c>
    </row>
    <row r="269" spans="1:26" x14ac:dyDescent="0.2">
      <c r="A269" t="s">
        <v>764</v>
      </c>
      <c r="B269" t="s">
        <v>572</v>
      </c>
      <c r="D269" s="4">
        <v>9</v>
      </c>
      <c r="E269" s="4">
        <v>80037250</v>
      </c>
      <c r="F269" s="3">
        <v>3.9999999999999998E-6</v>
      </c>
      <c r="J269" t="s">
        <v>16</v>
      </c>
      <c r="L269" t="s">
        <v>16</v>
      </c>
      <c r="M269" t="s">
        <v>16</v>
      </c>
      <c r="N269" t="s">
        <v>382</v>
      </c>
      <c r="O269" t="s">
        <v>383</v>
      </c>
      <c r="P269" t="s">
        <v>401</v>
      </c>
      <c r="Q269">
        <v>24529757</v>
      </c>
      <c r="R269" t="s">
        <v>775</v>
      </c>
      <c r="S269">
        <v>5.133</v>
      </c>
      <c r="T269">
        <v>500</v>
      </c>
      <c r="U269">
        <v>250</v>
      </c>
      <c r="V269">
        <v>250</v>
      </c>
      <c r="W269">
        <v>1</v>
      </c>
      <c r="X269" t="s">
        <v>402</v>
      </c>
      <c r="Z269" t="s">
        <v>760</v>
      </c>
    </row>
    <row r="270" spans="1:26" x14ac:dyDescent="0.2">
      <c r="A270" t="s">
        <v>764</v>
      </c>
      <c r="B270" t="s">
        <v>573</v>
      </c>
      <c r="D270">
        <v>9</v>
      </c>
      <c r="E270">
        <v>118658716</v>
      </c>
      <c r="F270" s="3">
        <v>1.9999999999999999E-6</v>
      </c>
      <c r="J270" t="s">
        <v>16</v>
      </c>
      <c r="L270" t="s">
        <v>16</v>
      </c>
      <c r="M270" t="s">
        <v>574</v>
      </c>
      <c r="N270" t="s">
        <v>382</v>
      </c>
      <c r="O270" t="s">
        <v>383</v>
      </c>
      <c r="P270" t="s">
        <v>401</v>
      </c>
      <c r="Q270">
        <v>24529757</v>
      </c>
      <c r="R270" t="s">
        <v>775</v>
      </c>
      <c r="S270">
        <v>5.133</v>
      </c>
      <c r="T270">
        <v>500</v>
      </c>
      <c r="U270">
        <v>250</v>
      </c>
      <c r="V270">
        <v>250</v>
      </c>
      <c r="W270">
        <v>1</v>
      </c>
      <c r="X270" t="s">
        <v>402</v>
      </c>
      <c r="Y270">
        <v>115896437</v>
      </c>
      <c r="Z270" t="s">
        <v>760</v>
      </c>
    </row>
    <row r="271" spans="1:26" x14ac:dyDescent="0.2">
      <c r="A271" t="s">
        <v>764</v>
      </c>
      <c r="B271" t="s">
        <v>575</v>
      </c>
      <c r="D271">
        <v>10</v>
      </c>
      <c r="E271">
        <v>61803062</v>
      </c>
      <c r="F271" s="3">
        <v>2.9999999999999999E-7</v>
      </c>
      <c r="J271" t="s">
        <v>16</v>
      </c>
      <c r="L271" t="s">
        <v>16</v>
      </c>
      <c r="M271" t="s">
        <v>576</v>
      </c>
      <c r="N271" t="s">
        <v>382</v>
      </c>
      <c r="O271" t="s">
        <v>383</v>
      </c>
      <c r="P271" t="s">
        <v>401</v>
      </c>
      <c r="Q271">
        <v>24529757</v>
      </c>
      <c r="R271" t="s">
        <v>775</v>
      </c>
      <c r="S271">
        <v>5.133</v>
      </c>
      <c r="T271">
        <v>500</v>
      </c>
      <c r="U271">
        <v>250</v>
      </c>
      <c r="V271">
        <v>250</v>
      </c>
      <c r="W271">
        <v>1</v>
      </c>
      <c r="X271" t="s">
        <v>402</v>
      </c>
      <c r="Y271">
        <v>60043304</v>
      </c>
      <c r="Z271" t="s">
        <v>760</v>
      </c>
    </row>
    <row r="272" spans="1:26" x14ac:dyDescent="0.2">
      <c r="A272" t="s">
        <v>764</v>
      </c>
      <c r="B272" t="s">
        <v>577</v>
      </c>
      <c r="D272">
        <v>10</v>
      </c>
      <c r="E272">
        <v>88162238</v>
      </c>
      <c r="F272" s="3">
        <v>3.0000000000000001E-6</v>
      </c>
      <c r="J272" t="s">
        <v>16</v>
      </c>
      <c r="L272" t="s">
        <v>16</v>
      </c>
      <c r="M272" t="s">
        <v>578</v>
      </c>
      <c r="N272" t="s">
        <v>382</v>
      </c>
      <c r="O272" t="s">
        <v>383</v>
      </c>
      <c r="P272" t="s">
        <v>401</v>
      </c>
      <c r="Q272">
        <v>24529757</v>
      </c>
      <c r="R272" t="s">
        <v>775</v>
      </c>
      <c r="S272">
        <v>5.133</v>
      </c>
      <c r="T272">
        <v>500</v>
      </c>
      <c r="U272">
        <v>250</v>
      </c>
      <c r="V272">
        <v>250</v>
      </c>
      <c r="W272">
        <v>1</v>
      </c>
      <c r="X272" t="s">
        <v>402</v>
      </c>
      <c r="Y272">
        <v>86402481</v>
      </c>
      <c r="Z272" t="s">
        <v>760</v>
      </c>
    </row>
    <row r="273" spans="1:27" x14ac:dyDescent="0.2">
      <c r="A273" t="s">
        <v>764</v>
      </c>
      <c r="B273" t="s">
        <v>579</v>
      </c>
      <c r="D273">
        <v>11</v>
      </c>
      <c r="E273">
        <v>18451096</v>
      </c>
      <c r="F273" s="3">
        <v>9.0000000000000002E-6</v>
      </c>
      <c r="J273" t="s">
        <v>16</v>
      </c>
      <c r="L273" t="s">
        <v>16</v>
      </c>
      <c r="M273" t="s">
        <v>580</v>
      </c>
      <c r="N273" t="s">
        <v>382</v>
      </c>
      <c r="O273" t="s">
        <v>383</v>
      </c>
      <c r="P273" t="s">
        <v>401</v>
      </c>
      <c r="Q273">
        <v>24529757</v>
      </c>
      <c r="R273" t="s">
        <v>775</v>
      </c>
      <c r="S273">
        <v>5.133</v>
      </c>
      <c r="T273">
        <v>500</v>
      </c>
      <c r="U273">
        <v>250</v>
      </c>
      <c r="V273">
        <v>250</v>
      </c>
      <c r="W273">
        <v>1</v>
      </c>
      <c r="X273" t="s">
        <v>402</v>
      </c>
      <c r="Y273">
        <v>18429549</v>
      </c>
      <c r="Z273" t="s">
        <v>760</v>
      </c>
    </row>
    <row r="274" spans="1:27" x14ac:dyDescent="0.2">
      <c r="A274" t="s">
        <v>764</v>
      </c>
      <c r="B274" t="s">
        <v>581</v>
      </c>
      <c r="D274" s="4">
        <v>11</v>
      </c>
      <c r="E274" s="4">
        <v>77162225</v>
      </c>
      <c r="F274" s="3">
        <v>7.0000000000000005E-8</v>
      </c>
      <c r="J274" t="s">
        <v>16</v>
      </c>
      <c r="L274" t="s">
        <v>16</v>
      </c>
      <c r="M274" t="s">
        <v>16</v>
      </c>
      <c r="N274" t="s">
        <v>382</v>
      </c>
      <c r="O274" t="s">
        <v>383</v>
      </c>
      <c r="P274" t="s">
        <v>401</v>
      </c>
      <c r="Q274">
        <v>24529757</v>
      </c>
      <c r="R274" t="s">
        <v>775</v>
      </c>
      <c r="S274">
        <v>5.133</v>
      </c>
      <c r="T274">
        <v>500</v>
      </c>
      <c r="U274">
        <v>250</v>
      </c>
      <c r="V274">
        <v>250</v>
      </c>
      <c r="W274">
        <v>1</v>
      </c>
      <c r="X274" t="s">
        <v>402</v>
      </c>
      <c r="Z274" t="s">
        <v>760</v>
      </c>
    </row>
    <row r="275" spans="1:27" x14ac:dyDescent="0.2">
      <c r="A275" t="s">
        <v>764</v>
      </c>
      <c r="B275" t="s">
        <v>582</v>
      </c>
      <c r="D275">
        <v>11</v>
      </c>
      <c r="E275">
        <v>127716140</v>
      </c>
      <c r="F275" s="3">
        <v>7.9999999999999996E-7</v>
      </c>
      <c r="J275" t="s">
        <v>16</v>
      </c>
      <c r="L275" t="s">
        <v>16</v>
      </c>
      <c r="M275" t="s">
        <v>583</v>
      </c>
      <c r="N275" t="s">
        <v>382</v>
      </c>
      <c r="O275" t="s">
        <v>383</v>
      </c>
      <c r="P275" t="s">
        <v>401</v>
      </c>
      <c r="Q275">
        <v>24529757</v>
      </c>
      <c r="R275" t="s">
        <v>775</v>
      </c>
      <c r="S275">
        <v>5.133</v>
      </c>
      <c r="T275">
        <v>500</v>
      </c>
      <c r="U275">
        <v>250</v>
      </c>
      <c r="V275">
        <v>250</v>
      </c>
      <c r="W275">
        <v>1</v>
      </c>
      <c r="X275" t="s">
        <v>402</v>
      </c>
      <c r="Y275">
        <v>127846245</v>
      </c>
      <c r="Z275" t="s">
        <v>760</v>
      </c>
    </row>
    <row r="276" spans="1:27" x14ac:dyDescent="0.2">
      <c r="A276" t="s">
        <v>764</v>
      </c>
      <c r="B276" t="s">
        <v>584</v>
      </c>
      <c r="D276" s="4">
        <v>11</v>
      </c>
      <c r="E276" s="4">
        <v>130779410</v>
      </c>
      <c r="F276" s="3">
        <v>9.0000000000000002E-6</v>
      </c>
      <c r="J276" t="s">
        <v>16</v>
      </c>
      <c r="L276" t="s">
        <v>16</v>
      </c>
      <c r="M276" t="s">
        <v>16</v>
      </c>
      <c r="N276" t="s">
        <v>382</v>
      </c>
      <c r="O276" t="s">
        <v>383</v>
      </c>
      <c r="P276" t="s">
        <v>401</v>
      </c>
      <c r="Q276">
        <v>24529757</v>
      </c>
      <c r="R276" t="s">
        <v>775</v>
      </c>
      <c r="S276">
        <v>5.133</v>
      </c>
      <c r="T276">
        <v>500</v>
      </c>
      <c r="U276">
        <v>250</v>
      </c>
      <c r="V276">
        <v>250</v>
      </c>
      <c r="W276">
        <v>1</v>
      </c>
      <c r="X276" t="s">
        <v>402</v>
      </c>
      <c r="Z276" t="s">
        <v>760</v>
      </c>
    </row>
    <row r="277" spans="1:27" x14ac:dyDescent="0.2">
      <c r="A277" t="s">
        <v>764</v>
      </c>
      <c r="B277" t="s">
        <v>585</v>
      </c>
      <c r="D277" s="4">
        <v>12</v>
      </c>
      <c r="E277" s="4">
        <v>54134662</v>
      </c>
      <c r="F277" s="3">
        <v>6.0000000000000002E-6</v>
      </c>
      <c r="J277" t="s">
        <v>16</v>
      </c>
      <c r="L277" t="s">
        <v>16</v>
      </c>
      <c r="M277" t="s">
        <v>16</v>
      </c>
      <c r="N277" t="s">
        <v>382</v>
      </c>
      <c r="O277" t="s">
        <v>383</v>
      </c>
      <c r="P277" t="s">
        <v>401</v>
      </c>
      <c r="Q277">
        <v>24529757</v>
      </c>
      <c r="R277" t="s">
        <v>775</v>
      </c>
      <c r="S277">
        <v>5.133</v>
      </c>
      <c r="T277">
        <v>500</v>
      </c>
      <c r="U277">
        <v>250</v>
      </c>
      <c r="V277">
        <v>250</v>
      </c>
      <c r="W277">
        <v>1</v>
      </c>
      <c r="X277" t="s">
        <v>402</v>
      </c>
      <c r="Z277" t="s">
        <v>760</v>
      </c>
    </row>
    <row r="278" spans="1:27" x14ac:dyDescent="0.2">
      <c r="A278" t="s">
        <v>764</v>
      </c>
      <c r="B278" t="s">
        <v>586</v>
      </c>
      <c r="D278">
        <v>12</v>
      </c>
      <c r="E278">
        <v>114359265</v>
      </c>
      <c r="F278" s="3">
        <v>6.0000000000000002E-6</v>
      </c>
      <c r="J278" t="s">
        <v>16</v>
      </c>
      <c r="L278" t="s">
        <v>16</v>
      </c>
      <c r="M278" t="s">
        <v>587</v>
      </c>
      <c r="N278" t="s">
        <v>382</v>
      </c>
      <c r="O278" t="s">
        <v>383</v>
      </c>
      <c r="P278" t="s">
        <v>401</v>
      </c>
      <c r="Q278">
        <v>24529757</v>
      </c>
      <c r="R278" t="s">
        <v>775</v>
      </c>
      <c r="S278">
        <v>5.133</v>
      </c>
      <c r="T278">
        <v>500</v>
      </c>
      <c r="U278">
        <v>250</v>
      </c>
      <c r="V278">
        <v>250</v>
      </c>
      <c r="W278">
        <v>1</v>
      </c>
      <c r="X278" t="s">
        <v>402</v>
      </c>
      <c r="Y278">
        <v>113921460</v>
      </c>
      <c r="Z278" t="s">
        <v>760</v>
      </c>
    </row>
    <row r="279" spans="1:27" x14ac:dyDescent="0.2">
      <c r="A279" t="s">
        <v>764</v>
      </c>
      <c r="B279" t="s">
        <v>588</v>
      </c>
      <c r="D279">
        <v>12</v>
      </c>
      <c r="E279">
        <v>125875466</v>
      </c>
      <c r="F279" s="3">
        <v>1.9999999999999999E-6</v>
      </c>
      <c r="J279" t="s">
        <v>16</v>
      </c>
      <c r="L279" t="s">
        <v>16</v>
      </c>
      <c r="M279" t="s">
        <v>589</v>
      </c>
      <c r="N279" t="s">
        <v>382</v>
      </c>
      <c r="O279" t="s">
        <v>383</v>
      </c>
      <c r="P279" t="s">
        <v>401</v>
      </c>
      <c r="Q279">
        <v>24529757</v>
      </c>
      <c r="R279" t="s">
        <v>775</v>
      </c>
      <c r="S279">
        <v>5.133</v>
      </c>
      <c r="T279">
        <v>500</v>
      </c>
      <c r="U279">
        <v>250</v>
      </c>
      <c r="V279">
        <v>250</v>
      </c>
      <c r="W279">
        <v>1</v>
      </c>
      <c r="X279" t="s">
        <v>402</v>
      </c>
      <c r="Y279">
        <v>125390920</v>
      </c>
      <c r="Z279" t="s">
        <v>760</v>
      </c>
    </row>
    <row r="280" spans="1:27" x14ac:dyDescent="0.2">
      <c r="A280" t="s">
        <v>764</v>
      </c>
      <c r="B280" t="s">
        <v>590</v>
      </c>
      <c r="D280">
        <v>12</v>
      </c>
      <c r="E280">
        <v>131456449</v>
      </c>
      <c r="F280" s="3">
        <v>8.0000000000000003E-10</v>
      </c>
      <c r="H280">
        <v>0.08</v>
      </c>
      <c r="I280" s="7">
        <v>3.7761</v>
      </c>
      <c r="J280" t="s">
        <v>16</v>
      </c>
      <c r="K280" s="7">
        <f>LN(I280)</f>
        <v>1.3286917309834319</v>
      </c>
      <c r="L280" t="s">
        <v>591</v>
      </c>
      <c r="M280" t="s">
        <v>592</v>
      </c>
      <c r="N280" t="s">
        <v>382</v>
      </c>
      <c r="O280" t="s">
        <v>383</v>
      </c>
      <c r="P280" t="s">
        <v>401</v>
      </c>
      <c r="Q280">
        <v>24529757</v>
      </c>
      <c r="R280" t="s">
        <v>775</v>
      </c>
      <c r="S280">
        <v>5.133</v>
      </c>
      <c r="T280">
        <v>500</v>
      </c>
      <c r="U280">
        <v>250</v>
      </c>
      <c r="V280">
        <v>250</v>
      </c>
      <c r="W280">
        <v>1</v>
      </c>
      <c r="X280" t="s">
        <v>402</v>
      </c>
      <c r="Y280">
        <v>130971904</v>
      </c>
      <c r="Z280" t="s">
        <v>760</v>
      </c>
      <c r="AA280" t="s">
        <v>741</v>
      </c>
    </row>
    <row r="281" spans="1:27" x14ac:dyDescent="0.2">
      <c r="A281" t="s">
        <v>764</v>
      </c>
      <c r="B281" t="s">
        <v>593</v>
      </c>
      <c r="D281" s="4">
        <v>13</v>
      </c>
      <c r="E281" s="4">
        <v>38125632</v>
      </c>
      <c r="F281" s="3">
        <v>3.9999999999999998E-7</v>
      </c>
      <c r="J281" t="s">
        <v>16</v>
      </c>
      <c r="L281" t="s">
        <v>16</v>
      </c>
      <c r="M281" t="s">
        <v>16</v>
      </c>
      <c r="N281" t="s">
        <v>382</v>
      </c>
      <c r="O281" t="s">
        <v>383</v>
      </c>
      <c r="P281" t="s">
        <v>401</v>
      </c>
      <c r="Q281">
        <v>24529757</v>
      </c>
      <c r="R281" t="s">
        <v>775</v>
      </c>
      <c r="S281">
        <v>5.133</v>
      </c>
      <c r="T281">
        <v>500</v>
      </c>
      <c r="U281">
        <v>250</v>
      </c>
      <c r="V281">
        <v>250</v>
      </c>
      <c r="W281">
        <v>1</v>
      </c>
      <c r="X281" t="s">
        <v>402</v>
      </c>
      <c r="Z281" t="s">
        <v>760</v>
      </c>
    </row>
    <row r="282" spans="1:27" x14ac:dyDescent="0.2">
      <c r="A282" t="s">
        <v>764</v>
      </c>
      <c r="B282" t="s">
        <v>594</v>
      </c>
      <c r="D282">
        <v>13</v>
      </c>
      <c r="E282">
        <v>53613559</v>
      </c>
      <c r="F282" s="3">
        <v>9.9999999999999995E-8</v>
      </c>
      <c r="J282" t="s">
        <v>16</v>
      </c>
      <c r="L282" t="s">
        <v>16</v>
      </c>
      <c r="M282" t="s">
        <v>595</v>
      </c>
      <c r="N282" t="s">
        <v>382</v>
      </c>
      <c r="O282" t="s">
        <v>383</v>
      </c>
      <c r="P282" t="s">
        <v>401</v>
      </c>
      <c r="Q282">
        <v>24529757</v>
      </c>
      <c r="R282" t="s">
        <v>775</v>
      </c>
      <c r="S282">
        <v>5.133</v>
      </c>
      <c r="T282">
        <v>500</v>
      </c>
      <c r="U282">
        <v>250</v>
      </c>
      <c r="V282">
        <v>250</v>
      </c>
      <c r="W282">
        <v>1</v>
      </c>
      <c r="X282" t="s">
        <v>402</v>
      </c>
      <c r="Y282">
        <v>53039424</v>
      </c>
      <c r="Z282" t="s">
        <v>760</v>
      </c>
    </row>
    <row r="283" spans="1:27" x14ac:dyDescent="0.2">
      <c r="A283" t="s">
        <v>764</v>
      </c>
      <c r="B283" t="s">
        <v>596</v>
      </c>
      <c r="D283">
        <v>2</v>
      </c>
      <c r="E283">
        <v>212914726</v>
      </c>
      <c r="F283" s="3">
        <v>9.9999999999999995E-7</v>
      </c>
      <c r="J283" t="s">
        <v>16</v>
      </c>
      <c r="L283" t="s">
        <v>16</v>
      </c>
      <c r="M283" t="s">
        <v>597</v>
      </c>
      <c r="N283" t="s">
        <v>382</v>
      </c>
      <c r="O283" t="s">
        <v>383</v>
      </c>
      <c r="P283" t="s">
        <v>401</v>
      </c>
      <c r="Q283">
        <v>24529757</v>
      </c>
      <c r="R283" t="s">
        <v>775</v>
      </c>
      <c r="S283">
        <v>5.133</v>
      </c>
      <c r="T283">
        <v>500</v>
      </c>
      <c r="U283">
        <v>250</v>
      </c>
      <c r="V283">
        <v>250</v>
      </c>
      <c r="W283">
        <v>1</v>
      </c>
      <c r="X283" t="s">
        <v>402</v>
      </c>
      <c r="Y283">
        <v>212050001</v>
      </c>
      <c r="Z283" t="s">
        <v>760</v>
      </c>
    </row>
    <row r="284" spans="1:27" x14ac:dyDescent="0.2">
      <c r="A284" t="s">
        <v>764</v>
      </c>
      <c r="B284" t="s">
        <v>598</v>
      </c>
      <c r="D284">
        <v>2</v>
      </c>
      <c r="E284">
        <v>222881518</v>
      </c>
      <c r="F284" s="3">
        <v>9.9999999999999995E-7</v>
      </c>
      <c r="J284" t="s">
        <v>16</v>
      </c>
      <c r="L284" t="s">
        <v>16</v>
      </c>
      <c r="M284" t="s">
        <v>599</v>
      </c>
      <c r="N284" t="s">
        <v>382</v>
      </c>
      <c r="O284" t="s">
        <v>383</v>
      </c>
      <c r="P284" t="s">
        <v>401</v>
      </c>
      <c r="Q284">
        <v>24529757</v>
      </c>
      <c r="R284" t="s">
        <v>775</v>
      </c>
      <c r="S284">
        <v>5.133</v>
      </c>
      <c r="T284">
        <v>500</v>
      </c>
      <c r="U284">
        <v>250</v>
      </c>
      <c r="V284">
        <v>250</v>
      </c>
      <c r="W284">
        <v>1</v>
      </c>
      <c r="X284" t="s">
        <v>402</v>
      </c>
      <c r="Y284">
        <v>222016799</v>
      </c>
      <c r="Z284" t="s">
        <v>760</v>
      </c>
    </row>
    <row r="285" spans="1:27" x14ac:dyDescent="0.2">
      <c r="A285" t="s">
        <v>764</v>
      </c>
      <c r="B285" t="s">
        <v>600</v>
      </c>
      <c r="D285" s="4">
        <v>3</v>
      </c>
      <c r="E285" s="4">
        <v>39305688</v>
      </c>
      <c r="F285" s="3">
        <v>6.9999999999999999E-6</v>
      </c>
      <c r="J285" t="s">
        <v>16</v>
      </c>
      <c r="L285" t="s">
        <v>16</v>
      </c>
      <c r="M285" t="s">
        <v>16</v>
      </c>
      <c r="N285" t="s">
        <v>382</v>
      </c>
      <c r="O285" t="s">
        <v>383</v>
      </c>
      <c r="P285" t="s">
        <v>401</v>
      </c>
      <c r="Q285">
        <v>24529757</v>
      </c>
      <c r="R285" t="s">
        <v>775</v>
      </c>
      <c r="S285">
        <v>5.133</v>
      </c>
      <c r="T285">
        <v>500</v>
      </c>
      <c r="U285">
        <v>250</v>
      </c>
      <c r="V285">
        <v>250</v>
      </c>
      <c r="W285">
        <v>1</v>
      </c>
      <c r="X285" t="s">
        <v>402</v>
      </c>
      <c r="Z285" t="s">
        <v>760</v>
      </c>
    </row>
    <row r="286" spans="1:27" x14ac:dyDescent="0.2">
      <c r="A286" t="s">
        <v>764</v>
      </c>
      <c r="B286" t="s">
        <v>601</v>
      </c>
      <c r="D286">
        <v>3</v>
      </c>
      <c r="E286">
        <v>126787159</v>
      </c>
      <c r="F286" s="3">
        <v>5.0000000000000004E-6</v>
      </c>
      <c r="J286" t="s">
        <v>16</v>
      </c>
      <c r="L286" t="s">
        <v>16</v>
      </c>
      <c r="M286" t="s">
        <v>602</v>
      </c>
      <c r="N286" t="s">
        <v>382</v>
      </c>
      <c r="O286" t="s">
        <v>383</v>
      </c>
      <c r="P286" t="s">
        <v>401</v>
      </c>
      <c r="Q286">
        <v>24529757</v>
      </c>
      <c r="R286" t="s">
        <v>775</v>
      </c>
      <c r="S286">
        <v>5.133</v>
      </c>
      <c r="T286">
        <v>500</v>
      </c>
      <c r="U286">
        <v>250</v>
      </c>
      <c r="V286">
        <v>250</v>
      </c>
      <c r="W286">
        <v>1</v>
      </c>
      <c r="X286" t="s">
        <v>402</v>
      </c>
      <c r="Y286">
        <v>127068316</v>
      </c>
      <c r="Z286" t="s">
        <v>760</v>
      </c>
    </row>
    <row r="287" spans="1:27" x14ac:dyDescent="0.2">
      <c r="A287" t="s">
        <v>764</v>
      </c>
      <c r="B287" t="s">
        <v>603</v>
      </c>
      <c r="D287">
        <v>3</v>
      </c>
      <c r="E287">
        <v>178399551</v>
      </c>
      <c r="F287" s="3">
        <v>8.9999999999999996E-7</v>
      </c>
      <c r="J287" t="s">
        <v>16</v>
      </c>
      <c r="L287" t="s">
        <v>16</v>
      </c>
      <c r="M287" t="s">
        <v>604</v>
      </c>
      <c r="N287" t="s">
        <v>382</v>
      </c>
      <c r="O287" t="s">
        <v>383</v>
      </c>
      <c r="P287" t="s">
        <v>401</v>
      </c>
      <c r="Q287">
        <v>24529757</v>
      </c>
      <c r="R287" t="s">
        <v>775</v>
      </c>
      <c r="S287">
        <v>5.133</v>
      </c>
      <c r="T287">
        <v>500</v>
      </c>
      <c r="U287">
        <v>250</v>
      </c>
      <c r="V287">
        <v>250</v>
      </c>
      <c r="W287">
        <v>1</v>
      </c>
      <c r="X287" t="s">
        <v>402</v>
      </c>
      <c r="Y287">
        <v>178681763</v>
      </c>
      <c r="Z287" t="s">
        <v>760</v>
      </c>
    </row>
    <row r="288" spans="1:27" x14ac:dyDescent="0.2">
      <c r="A288" t="s">
        <v>764</v>
      </c>
      <c r="B288" t="s">
        <v>605</v>
      </c>
      <c r="D288">
        <v>3</v>
      </c>
      <c r="E288">
        <v>186937200</v>
      </c>
      <c r="F288" s="3">
        <v>1.9999999999999999E-7</v>
      </c>
      <c r="J288" t="s">
        <v>16</v>
      </c>
      <c r="L288" t="s">
        <v>16</v>
      </c>
      <c r="M288" t="s">
        <v>606</v>
      </c>
      <c r="N288" t="s">
        <v>382</v>
      </c>
      <c r="O288" t="s">
        <v>383</v>
      </c>
      <c r="P288" t="s">
        <v>401</v>
      </c>
      <c r="Q288">
        <v>24529757</v>
      </c>
      <c r="R288" t="s">
        <v>775</v>
      </c>
      <c r="S288">
        <v>5.133</v>
      </c>
      <c r="T288">
        <v>500</v>
      </c>
      <c r="U288">
        <v>250</v>
      </c>
      <c r="V288">
        <v>250</v>
      </c>
      <c r="W288">
        <v>1</v>
      </c>
      <c r="X288" t="s">
        <v>402</v>
      </c>
      <c r="Y288">
        <v>187219412</v>
      </c>
      <c r="Z288" t="s">
        <v>760</v>
      </c>
    </row>
    <row r="289" spans="1:26" x14ac:dyDescent="0.2">
      <c r="A289" t="s">
        <v>764</v>
      </c>
      <c r="B289" t="s">
        <v>607</v>
      </c>
      <c r="D289" s="4">
        <v>4</v>
      </c>
      <c r="E289" s="4">
        <v>38202908</v>
      </c>
      <c r="F289" s="3">
        <v>6.9999999999999997E-7</v>
      </c>
      <c r="J289" t="s">
        <v>16</v>
      </c>
      <c r="L289" t="s">
        <v>16</v>
      </c>
      <c r="M289" t="s">
        <v>16</v>
      </c>
      <c r="N289" t="s">
        <v>382</v>
      </c>
      <c r="O289" t="s">
        <v>383</v>
      </c>
      <c r="P289" t="s">
        <v>401</v>
      </c>
      <c r="Q289">
        <v>24529757</v>
      </c>
      <c r="R289" t="s">
        <v>775</v>
      </c>
      <c r="S289">
        <v>5.133</v>
      </c>
      <c r="T289">
        <v>500</v>
      </c>
      <c r="U289">
        <v>250</v>
      </c>
      <c r="V289">
        <v>250</v>
      </c>
      <c r="W289">
        <v>1</v>
      </c>
      <c r="X289" t="s">
        <v>402</v>
      </c>
      <c r="Z289" t="s">
        <v>760</v>
      </c>
    </row>
    <row r="290" spans="1:26" x14ac:dyDescent="0.2">
      <c r="A290" t="s">
        <v>764</v>
      </c>
      <c r="B290" t="s">
        <v>608</v>
      </c>
      <c r="D290">
        <v>4</v>
      </c>
      <c r="E290">
        <v>92283771</v>
      </c>
      <c r="F290" s="3">
        <v>6.0000000000000002E-6</v>
      </c>
      <c r="J290" t="s">
        <v>16</v>
      </c>
      <c r="L290" t="s">
        <v>16</v>
      </c>
      <c r="M290" t="s">
        <v>609</v>
      </c>
      <c r="N290" t="s">
        <v>382</v>
      </c>
      <c r="O290" t="s">
        <v>383</v>
      </c>
      <c r="P290" t="s">
        <v>401</v>
      </c>
      <c r="Q290">
        <v>24529757</v>
      </c>
      <c r="R290" t="s">
        <v>775</v>
      </c>
      <c r="S290">
        <v>5.133</v>
      </c>
      <c r="T290">
        <v>500</v>
      </c>
      <c r="U290">
        <v>250</v>
      </c>
      <c r="V290">
        <v>250</v>
      </c>
      <c r="W290">
        <v>1</v>
      </c>
      <c r="X290" t="s">
        <v>402</v>
      </c>
      <c r="Y290">
        <v>91362620</v>
      </c>
      <c r="Z290" t="s">
        <v>760</v>
      </c>
    </row>
    <row r="291" spans="1:26" x14ac:dyDescent="0.2">
      <c r="A291" t="s">
        <v>764</v>
      </c>
      <c r="B291" t="s">
        <v>610</v>
      </c>
      <c r="D291">
        <v>4</v>
      </c>
      <c r="E291">
        <v>108959282</v>
      </c>
      <c r="F291" s="3">
        <v>3.0000000000000001E-6</v>
      </c>
      <c r="J291" t="s">
        <v>16</v>
      </c>
      <c r="L291" t="s">
        <v>16</v>
      </c>
      <c r="M291" t="s">
        <v>611</v>
      </c>
      <c r="N291" t="s">
        <v>382</v>
      </c>
      <c r="O291" t="s">
        <v>383</v>
      </c>
      <c r="P291" t="s">
        <v>401</v>
      </c>
      <c r="Q291">
        <v>24529757</v>
      </c>
      <c r="R291" t="s">
        <v>775</v>
      </c>
      <c r="S291">
        <v>5.133</v>
      </c>
      <c r="T291">
        <v>500</v>
      </c>
      <c r="U291">
        <v>250</v>
      </c>
      <c r="V291">
        <v>250</v>
      </c>
      <c r="W291">
        <v>1</v>
      </c>
      <c r="X291" t="s">
        <v>402</v>
      </c>
      <c r="Y291">
        <v>108038126</v>
      </c>
      <c r="Z291" t="s">
        <v>760</v>
      </c>
    </row>
    <row r="292" spans="1:26" x14ac:dyDescent="0.2">
      <c r="A292" t="s">
        <v>764</v>
      </c>
      <c r="B292" t="s">
        <v>612</v>
      </c>
      <c r="D292" s="4">
        <v>4</v>
      </c>
      <c r="E292" s="4">
        <v>113437027</v>
      </c>
      <c r="F292" s="3">
        <v>3.0000000000000001E-6</v>
      </c>
      <c r="J292" t="s">
        <v>16</v>
      </c>
      <c r="L292" t="s">
        <v>16</v>
      </c>
      <c r="M292" t="s">
        <v>16</v>
      </c>
      <c r="N292" t="s">
        <v>382</v>
      </c>
      <c r="O292" t="s">
        <v>383</v>
      </c>
      <c r="P292" t="s">
        <v>401</v>
      </c>
      <c r="Q292">
        <v>24529757</v>
      </c>
      <c r="R292" t="s">
        <v>775</v>
      </c>
      <c r="S292">
        <v>5.133</v>
      </c>
      <c r="T292">
        <v>500</v>
      </c>
      <c r="U292">
        <v>250</v>
      </c>
      <c r="V292">
        <v>250</v>
      </c>
      <c r="W292">
        <v>1</v>
      </c>
      <c r="X292" t="s">
        <v>402</v>
      </c>
      <c r="Z292" t="s">
        <v>760</v>
      </c>
    </row>
    <row r="293" spans="1:26" x14ac:dyDescent="0.2">
      <c r="A293" t="s">
        <v>764</v>
      </c>
      <c r="B293" t="s">
        <v>613</v>
      </c>
      <c r="D293">
        <v>4</v>
      </c>
      <c r="E293">
        <v>142976073</v>
      </c>
      <c r="F293" s="3">
        <v>8.9999999999999996E-7</v>
      </c>
      <c r="J293" t="s">
        <v>16</v>
      </c>
      <c r="L293" t="s">
        <v>16</v>
      </c>
      <c r="M293" t="s">
        <v>614</v>
      </c>
      <c r="N293" t="s">
        <v>382</v>
      </c>
      <c r="O293" t="s">
        <v>383</v>
      </c>
      <c r="P293" t="s">
        <v>401</v>
      </c>
      <c r="Q293">
        <v>24529757</v>
      </c>
      <c r="R293" t="s">
        <v>775</v>
      </c>
      <c r="S293">
        <v>5.133</v>
      </c>
      <c r="T293">
        <v>500</v>
      </c>
      <c r="U293">
        <v>250</v>
      </c>
      <c r="V293">
        <v>250</v>
      </c>
      <c r="W293">
        <v>1</v>
      </c>
      <c r="X293" t="s">
        <v>402</v>
      </c>
      <c r="Y293">
        <v>142054920</v>
      </c>
      <c r="Z293" t="s">
        <v>760</v>
      </c>
    </row>
    <row r="294" spans="1:26" x14ac:dyDescent="0.2">
      <c r="A294" t="s">
        <v>764</v>
      </c>
      <c r="B294" t="s">
        <v>615</v>
      </c>
      <c r="D294">
        <v>2</v>
      </c>
      <c r="E294">
        <v>34672921</v>
      </c>
      <c r="F294" s="3">
        <v>7.9999999999999996E-6</v>
      </c>
      <c r="J294" t="s">
        <v>16</v>
      </c>
      <c r="L294" t="s">
        <v>16</v>
      </c>
      <c r="M294" t="s">
        <v>616</v>
      </c>
      <c r="N294" t="s">
        <v>382</v>
      </c>
      <c r="O294" t="s">
        <v>383</v>
      </c>
      <c r="P294" t="s">
        <v>401</v>
      </c>
      <c r="Q294">
        <v>24529757</v>
      </c>
      <c r="R294" t="s">
        <v>775</v>
      </c>
      <c r="S294">
        <v>5.133</v>
      </c>
      <c r="T294">
        <v>500</v>
      </c>
      <c r="U294">
        <v>250</v>
      </c>
      <c r="V294">
        <v>250</v>
      </c>
      <c r="W294">
        <v>1</v>
      </c>
      <c r="X294" t="s">
        <v>402</v>
      </c>
      <c r="Y294">
        <v>34447854</v>
      </c>
      <c r="Z294" t="s">
        <v>760</v>
      </c>
    </row>
    <row r="295" spans="1:26" x14ac:dyDescent="0.2">
      <c r="A295" t="s">
        <v>764</v>
      </c>
      <c r="B295" t="s">
        <v>617</v>
      </c>
      <c r="D295" s="4">
        <v>2</v>
      </c>
      <c r="E295" s="4">
        <v>137093444</v>
      </c>
      <c r="F295" s="3">
        <v>3.0000000000000001E-6</v>
      </c>
      <c r="J295" t="s">
        <v>16</v>
      </c>
      <c r="L295" t="s">
        <v>16</v>
      </c>
      <c r="M295" t="s">
        <v>16</v>
      </c>
      <c r="N295" t="s">
        <v>382</v>
      </c>
      <c r="O295" t="s">
        <v>383</v>
      </c>
      <c r="P295" t="s">
        <v>401</v>
      </c>
      <c r="Q295">
        <v>24529757</v>
      </c>
      <c r="R295" t="s">
        <v>775</v>
      </c>
      <c r="S295">
        <v>5.133</v>
      </c>
      <c r="T295">
        <v>500</v>
      </c>
      <c r="U295">
        <v>250</v>
      </c>
      <c r="V295">
        <v>250</v>
      </c>
      <c r="W295">
        <v>1</v>
      </c>
      <c r="X295" t="s">
        <v>402</v>
      </c>
      <c r="Z295" t="s">
        <v>760</v>
      </c>
    </row>
    <row r="296" spans="1:26" x14ac:dyDescent="0.2">
      <c r="A296" t="s">
        <v>764</v>
      </c>
      <c r="B296" t="s">
        <v>618</v>
      </c>
      <c r="D296" s="4">
        <v>2</v>
      </c>
      <c r="E296" s="4">
        <v>196505078</v>
      </c>
      <c r="F296" s="3">
        <v>1.9999999999999999E-7</v>
      </c>
      <c r="J296" t="s">
        <v>16</v>
      </c>
      <c r="L296" t="s">
        <v>16</v>
      </c>
      <c r="M296" t="s">
        <v>16</v>
      </c>
      <c r="N296" t="s">
        <v>382</v>
      </c>
      <c r="O296" t="s">
        <v>383</v>
      </c>
      <c r="P296" t="s">
        <v>401</v>
      </c>
      <c r="Q296">
        <v>24529757</v>
      </c>
      <c r="R296" t="s">
        <v>775</v>
      </c>
      <c r="S296">
        <v>5.133</v>
      </c>
      <c r="T296">
        <v>500</v>
      </c>
      <c r="U296">
        <v>250</v>
      </c>
      <c r="V296">
        <v>250</v>
      </c>
      <c r="W296">
        <v>1</v>
      </c>
      <c r="X296" t="s">
        <v>402</v>
      </c>
      <c r="Z296" t="s">
        <v>760</v>
      </c>
    </row>
    <row r="297" spans="1:26" x14ac:dyDescent="0.2">
      <c r="A297" t="s">
        <v>764</v>
      </c>
      <c r="B297" t="s">
        <v>619</v>
      </c>
      <c r="D297">
        <v>2</v>
      </c>
      <c r="E297">
        <v>208489101</v>
      </c>
      <c r="F297" s="3">
        <v>1.9999999999999999E-7</v>
      </c>
      <c r="J297" t="s">
        <v>16</v>
      </c>
      <c r="L297" t="s">
        <v>16</v>
      </c>
      <c r="M297" t="s">
        <v>620</v>
      </c>
      <c r="N297" t="s">
        <v>382</v>
      </c>
      <c r="O297" t="s">
        <v>383</v>
      </c>
      <c r="P297" t="s">
        <v>401</v>
      </c>
      <c r="Q297">
        <v>24529757</v>
      </c>
      <c r="R297" t="s">
        <v>775</v>
      </c>
      <c r="S297">
        <v>5.133</v>
      </c>
      <c r="T297">
        <v>500</v>
      </c>
      <c r="U297">
        <v>250</v>
      </c>
      <c r="V297">
        <v>250</v>
      </c>
      <c r="W297">
        <v>1</v>
      </c>
      <c r="X297" t="s">
        <v>402</v>
      </c>
      <c r="Y297">
        <v>207624377</v>
      </c>
      <c r="Z297" t="s">
        <v>760</v>
      </c>
    </row>
    <row r="298" spans="1:26" x14ac:dyDescent="0.2">
      <c r="A298" t="s">
        <v>764</v>
      </c>
      <c r="B298" t="s">
        <v>621</v>
      </c>
      <c r="D298">
        <v>2</v>
      </c>
      <c r="E298">
        <v>234928517</v>
      </c>
      <c r="F298" s="3">
        <v>3.9999999999999998E-6</v>
      </c>
      <c r="J298" t="s">
        <v>16</v>
      </c>
      <c r="L298" t="s">
        <v>16</v>
      </c>
      <c r="M298" t="s">
        <v>622</v>
      </c>
      <c r="N298" t="s">
        <v>382</v>
      </c>
      <c r="O298" t="s">
        <v>383</v>
      </c>
      <c r="P298" t="s">
        <v>401</v>
      </c>
      <c r="Q298">
        <v>24529757</v>
      </c>
      <c r="R298" t="s">
        <v>775</v>
      </c>
      <c r="S298">
        <v>5.133</v>
      </c>
      <c r="T298">
        <v>500</v>
      </c>
      <c r="U298">
        <v>250</v>
      </c>
      <c r="V298">
        <v>250</v>
      </c>
      <c r="W298">
        <v>1</v>
      </c>
      <c r="X298" t="s">
        <v>402</v>
      </c>
      <c r="Y298">
        <v>234019873</v>
      </c>
      <c r="Z298" t="s">
        <v>760</v>
      </c>
    </row>
    <row r="299" spans="1:26" x14ac:dyDescent="0.2">
      <c r="A299" t="s">
        <v>764</v>
      </c>
      <c r="B299" t="s">
        <v>623</v>
      </c>
      <c r="D299" s="4">
        <v>3</v>
      </c>
      <c r="E299" s="4">
        <v>24255079</v>
      </c>
      <c r="F299" s="3">
        <v>5.9999999999999997E-7</v>
      </c>
      <c r="J299" t="s">
        <v>16</v>
      </c>
      <c r="L299" t="s">
        <v>16</v>
      </c>
      <c r="M299" t="s">
        <v>16</v>
      </c>
      <c r="N299" t="s">
        <v>382</v>
      </c>
      <c r="O299" t="s">
        <v>383</v>
      </c>
      <c r="P299" t="s">
        <v>401</v>
      </c>
      <c r="Q299">
        <v>24529757</v>
      </c>
      <c r="R299" t="s">
        <v>775</v>
      </c>
      <c r="S299">
        <v>5.133</v>
      </c>
      <c r="T299">
        <v>500</v>
      </c>
      <c r="U299">
        <v>250</v>
      </c>
      <c r="V299">
        <v>250</v>
      </c>
      <c r="W299">
        <v>1</v>
      </c>
      <c r="X299" t="s">
        <v>402</v>
      </c>
      <c r="Z299" t="s">
        <v>760</v>
      </c>
    </row>
    <row r="300" spans="1:26" x14ac:dyDescent="0.2">
      <c r="A300" t="s">
        <v>764</v>
      </c>
      <c r="B300" t="s">
        <v>624</v>
      </c>
      <c r="D300" s="4">
        <v>3</v>
      </c>
      <c r="E300" s="4">
        <v>68777779</v>
      </c>
      <c r="F300" s="3">
        <v>3.9999999999999998E-7</v>
      </c>
      <c r="J300" t="s">
        <v>16</v>
      </c>
      <c r="L300" t="s">
        <v>16</v>
      </c>
      <c r="M300" t="s">
        <v>16</v>
      </c>
      <c r="N300" t="s">
        <v>382</v>
      </c>
      <c r="O300" t="s">
        <v>383</v>
      </c>
      <c r="P300" t="s">
        <v>401</v>
      </c>
      <c r="Q300">
        <v>24529757</v>
      </c>
      <c r="R300" t="s">
        <v>775</v>
      </c>
      <c r="S300">
        <v>5.133</v>
      </c>
      <c r="T300">
        <v>500</v>
      </c>
      <c r="U300">
        <v>250</v>
      </c>
      <c r="V300">
        <v>250</v>
      </c>
      <c r="W300">
        <v>1</v>
      </c>
      <c r="X300" t="s">
        <v>402</v>
      </c>
      <c r="Z300" t="s">
        <v>760</v>
      </c>
    </row>
    <row r="301" spans="1:26" x14ac:dyDescent="0.2">
      <c r="A301" t="s">
        <v>764</v>
      </c>
      <c r="B301" t="s">
        <v>625</v>
      </c>
      <c r="D301" s="4">
        <v>3</v>
      </c>
      <c r="E301" s="4">
        <v>133714087</v>
      </c>
      <c r="F301" s="3">
        <v>6.0000000000000002E-6</v>
      </c>
      <c r="J301" t="s">
        <v>16</v>
      </c>
      <c r="L301" t="s">
        <v>16</v>
      </c>
      <c r="M301" t="s">
        <v>16</v>
      </c>
      <c r="N301" t="s">
        <v>382</v>
      </c>
      <c r="O301" t="s">
        <v>383</v>
      </c>
      <c r="P301" t="s">
        <v>401</v>
      </c>
      <c r="Q301">
        <v>24529757</v>
      </c>
      <c r="R301" t="s">
        <v>775</v>
      </c>
      <c r="S301">
        <v>5.133</v>
      </c>
      <c r="T301">
        <v>500</v>
      </c>
      <c r="U301">
        <v>250</v>
      </c>
      <c r="V301">
        <v>250</v>
      </c>
      <c r="W301">
        <v>1</v>
      </c>
      <c r="X301" t="s">
        <v>402</v>
      </c>
      <c r="Z301" t="s">
        <v>760</v>
      </c>
    </row>
    <row r="302" spans="1:26" x14ac:dyDescent="0.2">
      <c r="A302" t="s">
        <v>764</v>
      </c>
      <c r="B302" t="s">
        <v>626</v>
      </c>
      <c r="D302" s="4">
        <v>3</v>
      </c>
      <c r="E302" s="4">
        <v>153199034</v>
      </c>
      <c r="F302" s="3">
        <v>6.0000000000000002E-6</v>
      </c>
      <c r="J302" t="s">
        <v>16</v>
      </c>
      <c r="L302" t="s">
        <v>16</v>
      </c>
      <c r="M302" t="s">
        <v>16</v>
      </c>
      <c r="N302" t="s">
        <v>382</v>
      </c>
      <c r="O302" t="s">
        <v>383</v>
      </c>
      <c r="P302" t="s">
        <v>401</v>
      </c>
      <c r="Q302">
        <v>24529757</v>
      </c>
      <c r="R302" t="s">
        <v>775</v>
      </c>
      <c r="S302">
        <v>5.133</v>
      </c>
      <c r="T302">
        <v>500</v>
      </c>
      <c r="U302">
        <v>250</v>
      </c>
      <c r="V302">
        <v>250</v>
      </c>
      <c r="W302">
        <v>1</v>
      </c>
      <c r="X302" t="s">
        <v>402</v>
      </c>
      <c r="Z302" t="s">
        <v>760</v>
      </c>
    </row>
    <row r="303" spans="1:26" x14ac:dyDescent="0.2">
      <c r="A303" t="s">
        <v>764</v>
      </c>
      <c r="B303" t="s">
        <v>627</v>
      </c>
      <c r="D303" s="4">
        <v>4</v>
      </c>
      <c r="E303" s="4">
        <v>16158017</v>
      </c>
      <c r="F303" s="3">
        <v>2.9999999999999999E-7</v>
      </c>
      <c r="J303" t="s">
        <v>16</v>
      </c>
      <c r="L303" t="s">
        <v>16</v>
      </c>
      <c r="M303" t="s">
        <v>16</v>
      </c>
      <c r="N303" t="s">
        <v>382</v>
      </c>
      <c r="O303" t="s">
        <v>383</v>
      </c>
      <c r="P303" t="s">
        <v>401</v>
      </c>
      <c r="Q303">
        <v>24529757</v>
      </c>
      <c r="R303" t="s">
        <v>775</v>
      </c>
      <c r="S303">
        <v>5.133</v>
      </c>
      <c r="T303">
        <v>500</v>
      </c>
      <c r="U303">
        <v>250</v>
      </c>
      <c r="V303">
        <v>250</v>
      </c>
      <c r="W303">
        <v>1</v>
      </c>
      <c r="X303" t="s">
        <v>402</v>
      </c>
      <c r="Z303" t="s">
        <v>760</v>
      </c>
    </row>
    <row r="304" spans="1:26" x14ac:dyDescent="0.2">
      <c r="A304" t="s">
        <v>764</v>
      </c>
      <c r="B304" t="s">
        <v>628</v>
      </c>
      <c r="D304">
        <v>4</v>
      </c>
      <c r="E304">
        <v>79506864</v>
      </c>
      <c r="F304" s="3">
        <v>5.0000000000000004E-6</v>
      </c>
      <c r="J304" t="s">
        <v>16</v>
      </c>
      <c r="L304" t="s">
        <v>16</v>
      </c>
      <c r="M304" t="s">
        <v>629</v>
      </c>
      <c r="N304" t="s">
        <v>382</v>
      </c>
      <c r="O304" t="s">
        <v>383</v>
      </c>
      <c r="P304" t="s">
        <v>401</v>
      </c>
      <c r="Q304">
        <v>24529757</v>
      </c>
      <c r="R304" t="s">
        <v>775</v>
      </c>
      <c r="S304">
        <v>5.133</v>
      </c>
      <c r="T304">
        <v>500</v>
      </c>
      <c r="U304">
        <v>250</v>
      </c>
      <c r="V304">
        <v>250</v>
      </c>
      <c r="W304">
        <v>1</v>
      </c>
      <c r="X304" t="s">
        <v>402</v>
      </c>
      <c r="Y304">
        <v>78585710</v>
      </c>
      <c r="Z304" t="s">
        <v>760</v>
      </c>
    </row>
    <row r="305" spans="1:26" x14ac:dyDescent="0.2">
      <c r="A305" t="s">
        <v>764</v>
      </c>
      <c r="B305" t="s">
        <v>630</v>
      </c>
      <c r="D305">
        <v>4</v>
      </c>
      <c r="E305">
        <v>95594616</v>
      </c>
      <c r="F305" s="3">
        <v>6.0000000000000002E-6</v>
      </c>
      <c r="J305" t="s">
        <v>16</v>
      </c>
      <c r="L305" t="s">
        <v>16</v>
      </c>
      <c r="M305" t="s">
        <v>631</v>
      </c>
      <c r="N305" t="s">
        <v>382</v>
      </c>
      <c r="O305" t="s">
        <v>383</v>
      </c>
      <c r="P305" t="s">
        <v>401</v>
      </c>
      <c r="Q305">
        <v>24529757</v>
      </c>
      <c r="R305" t="s">
        <v>775</v>
      </c>
      <c r="S305">
        <v>5.133</v>
      </c>
      <c r="T305">
        <v>500</v>
      </c>
      <c r="U305">
        <v>250</v>
      </c>
      <c r="V305">
        <v>250</v>
      </c>
      <c r="W305">
        <v>1</v>
      </c>
      <c r="X305" t="s">
        <v>402</v>
      </c>
      <c r="Y305">
        <v>94673465</v>
      </c>
      <c r="Z305" t="s">
        <v>760</v>
      </c>
    </row>
    <row r="306" spans="1:26" x14ac:dyDescent="0.2">
      <c r="A306" t="s">
        <v>764</v>
      </c>
      <c r="B306" t="s">
        <v>632</v>
      </c>
      <c r="D306">
        <v>4</v>
      </c>
      <c r="E306">
        <v>109628025</v>
      </c>
      <c r="F306" s="3">
        <v>9.9999999999999995E-8</v>
      </c>
      <c r="J306" t="s">
        <v>16</v>
      </c>
      <c r="L306" t="s">
        <v>16</v>
      </c>
      <c r="M306" t="s">
        <v>633</v>
      </c>
      <c r="N306" t="s">
        <v>382</v>
      </c>
      <c r="O306" t="s">
        <v>383</v>
      </c>
      <c r="P306" t="s">
        <v>401</v>
      </c>
      <c r="Q306">
        <v>24529757</v>
      </c>
      <c r="R306" t="s">
        <v>775</v>
      </c>
      <c r="S306">
        <v>5.133</v>
      </c>
      <c r="T306">
        <v>500</v>
      </c>
      <c r="U306">
        <v>250</v>
      </c>
      <c r="V306">
        <v>250</v>
      </c>
      <c r="W306">
        <v>1</v>
      </c>
      <c r="X306" t="s">
        <v>402</v>
      </c>
      <c r="Y306">
        <v>108706869</v>
      </c>
      <c r="Z306" t="s">
        <v>760</v>
      </c>
    </row>
    <row r="307" spans="1:26" x14ac:dyDescent="0.2">
      <c r="A307" t="s">
        <v>764</v>
      </c>
      <c r="B307" t="s">
        <v>634</v>
      </c>
      <c r="D307">
        <v>4</v>
      </c>
      <c r="E307">
        <v>119951647</v>
      </c>
      <c r="F307" s="3">
        <v>1.9999999999999999E-6</v>
      </c>
      <c r="J307" t="s">
        <v>16</v>
      </c>
      <c r="L307" t="s">
        <v>16</v>
      </c>
      <c r="M307" t="s">
        <v>635</v>
      </c>
      <c r="N307" t="s">
        <v>382</v>
      </c>
      <c r="O307" t="s">
        <v>383</v>
      </c>
      <c r="P307" t="s">
        <v>401</v>
      </c>
      <c r="Q307">
        <v>24529757</v>
      </c>
      <c r="R307" t="s">
        <v>775</v>
      </c>
      <c r="S307">
        <v>5.133</v>
      </c>
      <c r="T307">
        <v>500</v>
      </c>
      <c r="U307">
        <v>250</v>
      </c>
      <c r="V307">
        <v>250</v>
      </c>
      <c r="W307">
        <v>1</v>
      </c>
      <c r="X307" t="s">
        <v>402</v>
      </c>
      <c r="Y307">
        <v>119030492</v>
      </c>
      <c r="Z307" t="s">
        <v>760</v>
      </c>
    </row>
    <row r="308" spans="1:26" x14ac:dyDescent="0.2">
      <c r="A308" t="s">
        <v>764</v>
      </c>
      <c r="B308" t="s">
        <v>636</v>
      </c>
      <c r="D308" s="4">
        <v>4</v>
      </c>
      <c r="E308" s="4">
        <v>140105381</v>
      </c>
      <c r="F308" s="3">
        <v>6.0000000000000002E-6</v>
      </c>
      <c r="J308" t="s">
        <v>16</v>
      </c>
      <c r="L308" t="s">
        <v>16</v>
      </c>
      <c r="M308" t="s">
        <v>16</v>
      </c>
      <c r="N308" t="s">
        <v>382</v>
      </c>
      <c r="O308" t="s">
        <v>383</v>
      </c>
      <c r="P308" t="s">
        <v>401</v>
      </c>
      <c r="Q308">
        <v>24529757</v>
      </c>
      <c r="R308" t="s">
        <v>775</v>
      </c>
      <c r="S308">
        <v>5.133</v>
      </c>
      <c r="T308">
        <v>500</v>
      </c>
      <c r="U308">
        <v>250</v>
      </c>
      <c r="V308">
        <v>250</v>
      </c>
      <c r="W308">
        <v>1</v>
      </c>
      <c r="X308" t="s">
        <v>402</v>
      </c>
      <c r="Z308" t="s">
        <v>760</v>
      </c>
    </row>
    <row r="309" spans="1:26" x14ac:dyDescent="0.2">
      <c r="A309" t="s">
        <v>764</v>
      </c>
      <c r="B309" t="s">
        <v>637</v>
      </c>
      <c r="D309" s="4">
        <v>5</v>
      </c>
      <c r="E309" s="4">
        <v>178134921</v>
      </c>
      <c r="F309" s="3">
        <v>2.9999999999999999E-7</v>
      </c>
      <c r="J309" t="s">
        <v>16</v>
      </c>
      <c r="L309" t="s">
        <v>16</v>
      </c>
      <c r="M309" t="s">
        <v>16</v>
      </c>
      <c r="N309" t="s">
        <v>382</v>
      </c>
      <c r="O309" t="s">
        <v>383</v>
      </c>
      <c r="P309" t="s">
        <v>401</v>
      </c>
      <c r="Q309">
        <v>24529757</v>
      </c>
      <c r="R309" t="s">
        <v>775</v>
      </c>
      <c r="S309">
        <v>5.133</v>
      </c>
      <c r="T309">
        <v>500</v>
      </c>
      <c r="U309">
        <v>250</v>
      </c>
      <c r="V309">
        <v>250</v>
      </c>
      <c r="W309">
        <v>1</v>
      </c>
      <c r="X309" t="s">
        <v>402</v>
      </c>
      <c r="Z309" t="s">
        <v>760</v>
      </c>
    </row>
    <row r="310" spans="1:26" x14ac:dyDescent="0.2">
      <c r="A310" t="s">
        <v>764</v>
      </c>
      <c r="B310" t="s">
        <v>638</v>
      </c>
      <c r="D310" s="4">
        <v>6</v>
      </c>
      <c r="E310" s="4">
        <v>42956915</v>
      </c>
      <c r="F310" s="3">
        <v>7.9999999999999996E-6</v>
      </c>
      <c r="J310" t="s">
        <v>16</v>
      </c>
      <c r="L310" t="s">
        <v>16</v>
      </c>
      <c r="M310" t="s">
        <v>16</v>
      </c>
      <c r="N310" t="s">
        <v>382</v>
      </c>
      <c r="O310" t="s">
        <v>383</v>
      </c>
      <c r="P310" t="s">
        <v>401</v>
      </c>
      <c r="Q310">
        <v>24529757</v>
      </c>
      <c r="R310" t="s">
        <v>775</v>
      </c>
      <c r="S310">
        <v>5.133</v>
      </c>
      <c r="T310">
        <v>500</v>
      </c>
      <c r="U310">
        <v>250</v>
      </c>
      <c r="V310">
        <v>250</v>
      </c>
      <c r="W310">
        <v>1</v>
      </c>
      <c r="X310" t="s">
        <v>402</v>
      </c>
      <c r="Z310" t="s">
        <v>760</v>
      </c>
    </row>
    <row r="311" spans="1:26" x14ac:dyDescent="0.2">
      <c r="A311" t="s">
        <v>764</v>
      </c>
      <c r="B311" t="s">
        <v>639</v>
      </c>
      <c r="D311" s="4">
        <v>6</v>
      </c>
      <c r="E311" s="4">
        <v>47465606</v>
      </c>
      <c r="F311" s="3">
        <v>5.0000000000000004E-6</v>
      </c>
      <c r="J311" t="s">
        <v>16</v>
      </c>
      <c r="L311" t="s">
        <v>16</v>
      </c>
      <c r="M311" t="s">
        <v>16</v>
      </c>
      <c r="N311" t="s">
        <v>382</v>
      </c>
      <c r="O311" t="s">
        <v>383</v>
      </c>
      <c r="P311" t="s">
        <v>401</v>
      </c>
      <c r="Q311">
        <v>24529757</v>
      </c>
      <c r="R311" t="s">
        <v>775</v>
      </c>
      <c r="S311">
        <v>5.133</v>
      </c>
      <c r="T311">
        <v>500</v>
      </c>
      <c r="U311">
        <v>250</v>
      </c>
      <c r="V311">
        <v>250</v>
      </c>
      <c r="W311">
        <v>1</v>
      </c>
      <c r="X311" t="s">
        <v>402</v>
      </c>
      <c r="Z311" t="s">
        <v>760</v>
      </c>
    </row>
    <row r="312" spans="1:26" x14ac:dyDescent="0.2">
      <c r="A312" t="s">
        <v>764</v>
      </c>
      <c r="B312" t="s">
        <v>640</v>
      </c>
      <c r="D312">
        <v>6</v>
      </c>
      <c r="E312">
        <v>129783642</v>
      </c>
      <c r="F312" s="3">
        <v>3.0000000000000001E-6</v>
      </c>
      <c r="J312" t="s">
        <v>16</v>
      </c>
      <c r="L312" t="s">
        <v>16</v>
      </c>
      <c r="M312" t="s">
        <v>641</v>
      </c>
      <c r="N312" t="s">
        <v>382</v>
      </c>
      <c r="O312" t="s">
        <v>383</v>
      </c>
      <c r="P312" t="s">
        <v>401</v>
      </c>
      <c r="Q312">
        <v>24529757</v>
      </c>
      <c r="R312" t="s">
        <v>775</v>
      </c>
      <c r="S312">
        <v>5.133</v>
      </c>
      <c r="T312">
        <v>500</v>
      </c>
      <c r="U312">
        <v>250</v>
      </c>
      <c r="V312">
        <v>250</v>
      </c>
      <c r="W312">
        <v>1</v>
      </c>
      <c r="X312" t="s">
        <v>402</v>
      </c>
      <c r="Y312">
        <v>129462497</v>
      </c>
      <c r="Z312" t="s">
        <v>760</v>
      </c>
    </row>
    <row r="313" spans="1:26" x14ac:dyDescent="0.2">
      <c r="A313" t="s">
        <v>764</v>
      </c>
      <c r="B313" t="s">
        <v>642</v>
      </c>
      <c r="D313" s="4">
        <v>7</v>
      </c>
      <c r="E313" s="4">
        <v>21498733</v>
      </c>
      <c r="F313" s="3">
        <v>6.9999999999999999E-6</v>
      </c>
      <c r="J313" t="s">
        <v>16</v>
      </c>
      <c r="L313" t="s">
        <v>16</v>
      </c>
      <c r="M313" t="s">
        <v>16</v>
      </c>
      <c r="N313" t="s">
        <v>382</v>
      </c>
      <c r="O313" t="s">
        <v>383</v>
      </c>
      <c r="P313" t="s">
        <v>401</v>
      </c>
      <c r="Q313">
        <v>24529757</v>
      </c>
      <c r="R313" t="s">
        <v>775</v>
      </c>
      <c r="S313">
        <v>5.133</v>
      </c>
      <c r="T313">
        <v>500</v>
      </c>
      <c r="U313">
        <v>250</v>
      </c>
      <c r="V313">
        <v>250</v>
      </c>
      <c r="W313">
        <v>1</v>
      </c>
      <c r="X313" t="s">
        <v>402</v>
      </c>
      <c r="Z313" t="s">
        <v>760</v>
      </c>
    </row>
    <row r="314" spans="1:26" x14ac:dyDescent="0.2">
      <c r="A314" t="s">
        <v>764</v>
      </c>
      <c r="B314" t="s">
        <v>643</v>
      </c>
      <c r="D314">
        <v>7</v>
      </c>
      <c r="E314">
        <v>71680703</v>
      </c>
      <c r="F314" s="3">
        <v>3.9999999999999998E-6</v>
      </c>
      <c r="J314" t="s">
        <v>16</v>
      </c>
      <c r="L314" t="s">
        <v>16</v>
      </c>
      <c r="M314" t="s">
        <v>644</v>
      </c>
      <c r="N314" t="s">
        <v>382</v>
      </c>
      <c r="O314" t="s">
        <v>383</v>
      </c>
      <c r="P314" t="s">
        <v>401</v>
      </c>
      <c r="Q314">
        <v>24529757</v>
      </c>
      <c r="R314" t="s">
        <v>775</v>
      </c>
      <c r="S314">
        <v>5.133</v>
      </c>
      <c r="T314">
        <v>500</v>
      </c>
      <c r="U314">
        <v>250</v>
      </c>
      <c r="V314">
        <v>250</v>
      </c>
      <c r="W314">
        <v>1</v>
      </c>
      <c r="X314" t="s">
        <v>402</v>
      </c>
      <c r="Y314">
        <v>72215718</v>
      </c>
      <c r="Z314" t="s">
        <v>760</v>
      </c>
    </row>
    <row r="315" spans="1:26" x14ac:dyDescent="0.2">
      <c r="A315" t="s">
        <v>764</v>
      </c>
      <c r="B315" t="s">
        <v>645</v>
      </c>
      <c r="D315" s="4">
        <v>7</v>
      </c>
      <c r="E315" s="4">
        <v>111372244</v>
      </c>
      <c r="F315" s="3">
        <v>3.0000000000000001E-6</v>
      </c>
      <c r="J315" t="s">
        <v>16</v>
      </c>
      <c r="L315" t="s">
        <v>16</v>
      </c>
      <c r="M315" t="s">
        <v>16</v>
      </c>
      <c r="N315" t="s">
        <v>382</v>
      </c>
      <c r="O315" t="s">
        <v>383</v>
      </c>
      <c r="P315" t="s">
        <v>401</v>
      </c>
      <c r="Q315">
        <v>24529757</v>
      </c>
      <c r="R315" t="s">
        <v>775</v>
      </c>
      <c r="S315">
        <v>5.133</v>
      </c>
      <c r="T315">
        <v>500</v>
      </c>
      <c r="U315">
        <v>250</v>
      </c>
      <c r="V315">
        <v>250</v>
      </c>
      <c r="W315">
        <v>1</v>
      </c>
      <c r="X315" t="s">
        <v>402</v>
      </c>
      <c r="Z315" t="s">
        <v>760</v>
      </c>
    </row>
    <row r="316" spans="1:26" x14ac:dyDescent="0.2">
      <c r="A316" t="s">
        <v>764</v>
      </c>
      <c r="B316" t="s">
        <v>646</v>
      </c>
      <c r="D316">
        <v>8</v>
      </c>
      <c r="E316">
        <v>17461421</v>
      </c>
      <c r="F316" s="3">
        <v>6.0000000000000002E-6</v>
      </c>
      <c r="J316" t="s">
        <v>16</v>
      </c>
      <c r="L316" t="s">
        <v>16</v>
      </c>
      <c r="M316" t="s">
        <v>647</v>
      </c>
      <c r="N316" t="s">
        <v>382</v>
      </c>
      <c r="O316" t="s">
        <v>383</v>
      </c>
      <c r="P316" t="s">
        <v>401</v>
      </c>
      <c r="Q316">
        <v>24529757</v>
      </c>
      <c r="R316" t="s">
        <v>775</v>
      </c>
      <c r="S316">
        <v>5.133</v>
      </c>
      <c r="T316">
        <v>500</v>
      </c>
      <c r="U316">
        <v>250</v>
      </c>
      <c r="V316">
        <v>250</v>
      </c>
      <c r="W316">
        <v>1</v>
      </c>
      <c r="X316" t="s">
        <v>402</v>
      </c>
      <c r="Y316">
        <v>17603912</v>
      </c>
      <c r="Z316" t="s">
        <v>760</v>
      </c>
    </row>
    <row r="317" spans="1:26" x14ac:dyDescent="0.2">
      <c r="A317" t="s">
        <v>764</v>
      </c>
      <c r="B317" t="s">
        <v>648</v>
      </c>
      <c r="D317">
        <v>8</v>
      </c>
      <c r="E317">
        <v>62055667</v>
      </c>
      <c r="F317" s="3">
        <v>7.9999999999999996E-7</v>
      </c>
      <c r="J317" t="s">
        <v>16</v>
      </c>
      <c r="L317" t="s">
        <v>16</v>
      </c>
      <c r="M317" t="s">
        <v>649</v>
      </c>
      <c r="N317" t="s">
        <v>382</v>
      </c>
      <c r="O317" t="s">
        <v>383</v>
      </c>
      <c r="P317" t="s">
        <v>401</v>
      </c>
      <c r="Q317">
        <v>24529757</v>
      </c>
      <c r="R317" t="s">
        <v>775</v>
      </c>
      <c r="S317">
        <v>5.133</v>
      </c>
      <c r="T317">
        <v>500</v>
      </c>
      <c r="U317">
        <v>250</v>
      </c>
      <c r="V317">
        <v>250</v>
      </c>
      <c r="W317">
        <v>1</v>
      </c>
      <c r="X317" t="s">
        <v>402</v>
      </c>
      <c r="Y317">
        <v>61143108</v>
      </c>
      <c r="Z317" t="s">
        <v>760</v>
      </c>
    </row>
    <row r="318" spans="1:26" x14ac:dyDescent="0.2">
      <c r="A318" t="s">
        <v>764</v>
      </c>
      <c r="B318" t="s">
        <v>650</v>
      </c>
      <c r="D318" s="4">
        <v>8</v>
      </c>
      <c r="E318" s="4">
        <v>72725896</v>
      </c>
      <c r="F318" s="3">
        <v>3.0000000000000001E-6</v>
      </c>
      <c r="J318" t="s">
        <v>16</v>
      </c>
      <c r="L318" t="s">
        <v>16</v>
      </c>
      <c r="M318" t="s">
        <v>16</v>
      </c>
      <c r="N318" t="s">
        <v>382</v>
      </c>
      <c r="O318" t="s">
        <v>383</v>
      </c>
      <c r="P318" t="s">
        <v>401</v>
      </c>
      <c r="Q318">
        <v>24529757</v>
      </c>
      <c r="R318" t="s">
        <v>775</v>
      </c>
      <c r="S318">
        <v>5.133</v>
      </c>
      <c r="T318">
        <v>500</v>
      </c>
      <c r="U318">
        <v>250</v>
      </c>
      <c r="V318">
        <v>250</v>
      </c>
      <c r="W318">
        <v>1</v>
      </c>
      <c r="X318" t="s">
        <v>402</v>
      </c>
      <c r="Z318" t="s">
        <v>760</v>
      </c>
    </row>
    <row r="319" spans="1:26" x14ac:dyDescent="0.2">
      <c r="A319" t="s">
        <v>764</v>
      </c>
      <c r="B319" t="s">
        <v>651</v>
      </c>
      <c r="D319" s="4">
        <v>9</v>
      </c>
      <c r="E319" s="4">
        <v>27094628</v>
      </c>
      <c r="F319" s="3">
        <v>1.9999999999999999E-6</v>
      </c>
      <c r="J319" t="s">
        <v>16</v>
      </c>
      <c r="L319" t="s">
        <v>16</v>
      </c>
      <c r="M319" t="s">
        <v>16</v>
      </c>
      <c r="N319" t="s">
        <v>382</v>
      </c>
      <c r="O319" t="s">
        <v>383</v>
      </c>
      <c r="P319" t="s">
        <v>401</v>
      </c>
      <c r="Q319">
        <v>24529757</v>
      </c>
      <c r="R319" t="s">
        <v>775</v>
      </c>
      <c r="S319">
        <v>5.133</v>
      </c>
      <c r="T319">
        <v>500</v>
      </c>
      <c r="U319">
        <v>250</v>
      </c>
      <c r="V319">
        <v>250</v>
      </c>
      <c r="W319">
        <v>1</v>
      </c>
      <c r="X319" t="s">
        <v>402</v>
      </c>
      <c r="Z319" t="s">
        <v>760</v>
      </c>
    </row>
    <row r="320" spans="1:26" x14ac:dyDescent="0.2">
      <c r="A320" t="s">
        <v>764</v>
      </c>
      <c r="B320" t="s">
        <v>652</v>
      </c>
      <c r="D320" s="4">
        <v>9</v>
      </c>
      <c r="E320" s="4">
        <v>87251550</v>
      </c>
      <c r="F320" s="3">
        <v>7.9999999999999996E-6</v>
      </c>
      <c r="J320" t="s">
        <v>16</v>
      </c>
      <c r="L320" t="s">
        <v>16</v>
      </c>
      <c r="M320" t="s">
        <v>16</v>
      </c>
      <c r="N320" t="s">
        <v>382</v>
      </c>
      <c r="O320" t="s">
        <v>383</v>
      </c>
      <c r="P320" t="s">
        <v>401</v>
      </c>
      <c r="Q320">
        <v>24529757</v>
      </c>
      <c r="R320" t="s">
        <v>775</v>
      </c>
      <c r="S320">
        <v>5.133</v>
      </c>
      <c r="T320">
        <v>500</v>
      </c>
      <c r="U320">
        <v>250</v>
      </c>
      <c r="V320">
        <v>250</v>
      </c>
      <c r="W320">
        <v>1</v>
      </c>
      <c r="X320" t="s">
        <v>402</v>
      </c>
      <c r="Z320" t="s">
        <v>760</v>
      </c>
    </row>
    <row r="321" spans="1:26" x14ac:dyDescent="0.2">
      <c r="A321" t="s">
        <v>764</v>
      </c>
      <c r="B321" t="s">
        <v>653</v>
      </c>
      <c r="D321" s="4">
        <v>10</v>
      </c>
      <c r="E321" s="4">
        <v>13479308</v>
      </c>
      <c r="F321" s="3">
        <v>6.9999999999999997E-7</v>
      </c>
      <c r="J321" t="s">
        <v>16</v>
      </c>
      <c r="L321" t="s">
        <v>16</v>
      </c>
      <c r="M321" t="s">
        <v>16</v>
      </c>
      <c r="N321" t="s">
        <v>382</v>
      </c>
      <c r="O321" t="s">
        <v>383</v>
      </c>
      <c r="P321" t="s">
        <v>401</v>
      </c>
      <c r="Q321">
        <v>24529757</v>
      </c>
      <c r="R321" t="s">
        <v>775</v>
      </c>
      <c r="S321">
        <v>5.133</v>
      </c>
      <c r="T321">
        <v>500</v>
      </c>
      <c r="U321">
        <v>250</v>
      </c>
      <c r="V321">
        <v>250</v>
      </c>
      <c r="W321">
        <v>1</v>
      </c>
      <c r="X321" t="s">
        <v>402</v>
      </c>
      <c r="Z321" t="s">
        <v>760</v>
      </c>
    </row>
    <row r="322" spans="1:26" x14ac:dyDescent="0.2">
      <c r="A322" t="s">
        <v>764</v>
      </c>
      <c r="B322" t="s">
        <v>654</v>
      </c>
      <c r="D322" s="4">
        <v>10</v>
      </c>
      <c r="E322" s="4">
        <v>70608349</v>
      </c>
      <c r="F322" s="3">
        <v>5.0000000000000004E-6</v>
      </c>
      <c r="J322" t="s">
        <v>16</v>
      </c>
      <c r="L322" t="s">
        <v>16</v>
      </c>
      <c r="M322" t="s">
        <v>16</v>
      </c>
      <c r="N322" t="s">
        <v>382</v>
      </c>
      <c r="O322" t="s">
        <v>383</v>
      </c>
      <c r="P322" t="s">
        <v>401</v>
      </c>
      <c r="Q322">
        <v>24529757</v>
      </c>
      <c r="R322" t="s">
        <v>775</v>
      </c>
      <c r="S322">
        <v>5.133</v>
      </c>
      <c r="T322">
        <v>500</v>
      </c>
      <c r="U322">
        <v>250</v>
      </c>
      <c r="V322">
        <v>250</v>
      </c>
      <c r="W322">
        <v>1</v>
      </c>
      <c r="X322" t="s">
        <v>402</v>
      </c>
      <c r="Z322" t="s">
        <v>760</v>
      </c>
    </row>
    <row r="323" spans="1:26" x14ac:dyDescent="0.2">
      <c r="A323" t="s">
        <v>764</v>
      </c>
      <c r="B323" t="s">
        <v>655</v>
      </c>
      <c r="D323" s="4">
        <v>10</v>
      </c>
      <c r="E323" s="4">
        <v>127573461</v>
      </c>
      <c r="F323" s="3">
        <v>3.0000000000000001E-6</v>
      </c>
      <c r="J323" t="s">
        <v>16</v>
      </c>
      <c r="L323" t="s">
        <v>16</v>
      </c>
      <c r="M323" t="s">
        <v>16</v>
      </c>
      <c r="N323" t="s">
        <v>382</v>
      </c>
      <c r="O323" t="s">
        <v>383</v>
      </c>
      <c r="P323" t="s">
        <v>401</v>
      </c>
      <c r="Q323">
        <v>24529757</v>
      </c>
      <c r="R323" t="s">
        <v>775</v>
      </c>
      <c r="S323">
        <v>5.133</v>
      </c>
      <c r="T323">
        <v>500</v>
      </c>
      <c r="U323">
        <v>250</v>
      </c>
      <c r="V323">
        <v>250</v>
      </c>
      <c r="W323">
        <v>1</v>
      </c>
      <c r="X323" t="s">
        <v>402</v>
      </c>
      <c r="Z323" t="s">
        <v>760</v>
      </c>
    </row>
    <row r="324" spans="1:26" x14ac:dyDescent="0.2">
      <c r="A324" t="s">
        <v>764</v>
      </c>
      <c r="B324" t="s">
        <v>656</v>
      </c>
      <c r="D324" s="4">
        <v>18</v>
      </c>
      <c r="E324" s="4">
        <v>76583255</v>
      </c>
      <c r="F324" s="3">
        <v>8.9999999999999995E-9</v>
      </c>
      <c r="H324">
        <v>0.93</v>
      </c>
      <c r="J324" t="s">
        <v>16</v>
      </c>
      <c r="L324" t="s">
        <v>16</v>
      </c>
      <c r="M324" t="s">
        <v>16</v>
      </c>
      <c r="N324" t="s">
        <v>382</v>
      </c>
      <c r="O324" t="s">
        <v>383</v>
      </c>
      <c r="P324" t="s">
        <v>401</v>
      </c>
      <c r="Q324">
        <v>24529757</v>
      </c>
      <c r="R324" t="s">
        <v>775</v>
      </c>
      <c r="S324">
        <v>5.133</v>
      </c>
      <c r="T324">
        <v>500</v>
      </c>
      <c r="U324">
        <v>250</v>
      </c>
      <c r="V324">
        <v>250</v>
      </c>
      <c r="W324">
        <v>1</v>
      </c>
      <c r="X324" t="s">
        <v>402</v>
      </c>
      <c r="Z324" t="s">
        <v>760</v>
      </c>
    </row>
    <row r="325" spans="1:26" x14ac:dyDescent="0.2">
      <c r="A325" t="s">
        <v>764</v>
      </c>
      <c r="B325" t="s">
        <v>657</v>
      </c>
      <c r="D325" s="4">
        <v>22</v>
      </c>
      <c r="E325" s="4">
        <v>26413933</v>
      </c>
      <c r="F325" s="3">
        <v>2.0000000000000001E-10</v>
      </c>
      <c r="H325">
        <v>0.2</v>
      </c>
      <c r="I325" s="7">
        <v>3.0327000000000002</v>
      </c>
      <c r="J325" t="s">
        <v>16</v>
      </c>
      <c r="K325" s="7">
        <f>LN(I325)</f>
        <v>1.1094533118459846</v>
      </c>
      <c r="L325" t="s">
        <v>658</v>
      </c>
      <c r="M325" t="s">
        <v>16</v>
      </c>
      <c r="N325" t="s">
        <v>382</v>
      </c>
      <c r="O325" t="s">
        <v>383</v>
      </c>
      <c r="P325" t="s">
        <v>401</v>
      </c>
      <c r="Q325">
        <v>24529757</v>
      </c>
      <c r="R325" t="s">
        <v>775</v>
      </c>
      <c r="S325">
        <v>5.133</v>
      </c>
      <c r="T325">
        <v>500</v>
      </c>
      <c r="U325">
        <v>250</v>
      </c>
      <c r="V325">
        <v>250</v>
      </c>
      <c r="W325">
        <v>1</v>
      </c>
      <c r="X325" t="s">
        <v>402</v>
      </c>
      <c r="Z325" t="s">
        <v>760</v>
      </c>
    </row>
    <row r="326" spans="1:26" x14ac:dyDescent="0.2">
      <c r="A326" t="s">
        <v>764</v>
      </c>
      <c r="B326" t="s">
        <v>659</v>
      </c>
      <c r="D326">
        <v>9</v>
      </c>
      <c r="E326">
        <v>2256092</v>
      </c>
      <c r="F326" s="3">
        <v>9.9999999999999995E-7</v>
      </c>
      <c r="J326" t="s">
        <v>16</v>
      </c>
      <c r="L326" t="s">
        <v>16</v>
      </c>
      <c r="M326" t="s">
        <v>660</v>
      </c>
      <c r="N326" t="s">
        <v>382</v>
      </c>
      <c r="O326" t="s">
        <v>383</v>
      </c>
      <c r="P326" t="s">
        <v>401</v>
      </c>
      <c r="Q326">
        <v>24529757</v>
      </c>
      <c r="R326" t="s">
        <v>775</v>
      </c>
      <c r="S326">
        <v>5.133</v>
      </c>
      <c r="T326">
        <v>500</v>
      </c>
      <c r="U326">
        <v>250</v>
      </c>
      <c r="V326">
        <v>250</v>
      </c>
      <c r="W326">
        <v>1</v>
      </c>
      <c r="X326" t="s">
        <v>402</v>
      </c>
      <c r="Y326">
        <v>2256092</v>
      </c>
      <c r="Z326" t="s">
        <v>760</v>
      </c>
    </row>
    <row r="327" spans="1:26" x14ac:dyDescent="0.2">
      <c r="A327" t="s">
        <v>764</v>
      </c>
      <c r="B327" t="s">
        <v>661</v>
      </c>
      <c r="D327" s="4">
        <v>18</v>
      </c>
      <c r="E327" s="4">
        <v>3012019</v>
      </c>
      <c r="F327" s="3">
        <v>3.9999999999999998E-6</v>
      </c>
      <c r="J327" t="s">
        <v>16</v>
      </c>
      <c r="L327" t="s">
        <v>16</v>
      </c>
      <c r="M327" t="s">
        <v>16</v>
      </c>
      <c r="N327" t="s">
        <v>382</v>
      </c>
      <c r="O327" t="s">
        <v>383</v>
      </c>
      <c r="P327" t="s">
        <v>401</v>
      </c>
      <c r="Q327">
        <v>24529757</v>
      </c>
      <c r="R327" t="s">
        <v>775</v>
      </c>
      <c r="S327">
        <v>5.133</v>
      </c>
      <c r="T327">
        <v>500</v>
      </c>
      <c r="U327">
        <v>250</v>
      </c>
      <c r="V327">
        <v>250</v>
      </c>
      <c r="W327">
        <v>1</v>
      </c>
      <c r="X327" t="s">
        <v>402</v>
      </c>
      <c r="Z327" t="s">
        <v>760</v>
      </c>
    </row>
    <row r="328" spans="1:26" x14ac:dyDescent="0.2">
      <c r="A328" t="s">
        <v>764</v>
      </c>
      <c r="B328" t="s">
        <v>662</v>
      </c>
      <c r="D328">
        <v>3</v>
      </c>
      <c r="E328">
        <v>3588042</v>
      </c>
      <c r="F328" s="3">
        <v>3.9999999999999998E-6</v>
      </c>
      <c r="J328" t="s">
        <v>16</v>
      </c>
      <c r="L328" t="s">
        <v>16</v>
      </c>
      <c r="M328" t="s">
        <v>16</v>
      </c>
      <c r="N328" t="s">
        <v>382</v>
      </c>
      <c r="O328" t="s">
        <v>383</v>
      </c>
      <c r="P328" t="s">
        <v>401</v>
      </c>
      <c r="Q328">
        <v>24529757</v>
      </c>
      <c r="R328" t="s">
        <v>775</v>
      </c>
      <c r="S328">
        <v>5.133</v>
      </c>
      <c r="T328">
        <v>500</v>
      </c>
      <c r="U328">
        <v>250</v>
      </c>
      <c r="V328">
        <v>250</v>
      </c>
      <c r="W328">
        <v>1</v>
      </c>
      <c r="X328" t="s">
        <v>402</v>
      </c>
      <c r="Y328">
        <v>3546358</v>
      </c>
      <c r="Z328" t="s">
        <v>760</v>
      </c>
    </row>
    <row r="329" spans="1:26" x14ac:dyDescent="0.2">
      <c r="A329" t="s">
        <v>764</v>
      </c>
      <c r="B329" t="s">
        <v>663</v>
      </c>
      <c r="D329">
        <v>10</v>
      </c>
      <c r="E329">
        <v>3804257</v>
      </c>
      <c r="F329" s="3">
        <v>1.9999999999999999E-6</v>
      </c>
      <c r="J329" t="s">
        <v>16</v>
      </c>
      <c r="L329" t="s">
        <v>16</v>
      </c>
      <c r="M329" t="s">
        <v>664</v>
      </c>
      <c r="N329" t="s">
        <v>382</v>
      </c>
      <c r="O329" t="s">
        <v>383</v>
      </c>
      <c r="P329" t="s">
        <v>401</v>
      </c>
      <c r="Q329">
        <v>24529757</v>
      </c>
      <c r="R329" t="s">
        <v>775</v>
      </c>
      <c r="S329">
        <v>5.133</v>
      </c>
      <c r="T329">
        <v>500</v>
      </c>
      <c r="U329">
        <v>250</v>
      </c>
      <c r="V329">
        <v>250</v>
      </c>
      <c r="W329">
        <v>1</v>
      </c>
      <c r="X329" t="s">
        <v>402</v>
      </c>
      <c r="Y329">
        <v>3762065</v>
      </c>
      <c r="Z329" t="s">
        <v>760</v>
      </c>
    </row>
    <row r="330" spans="1:26" x14ac:dyDescent="0.2">
      <c r="A330" t="s">
        <v>764</v>
      </c>
      <c r="B330" t="s">
        <v>665</v>
      </c>
      <c r="D330" s="4">
        <v>5</v>
      </c>
      <c r="E330" s="4">
        <v>5423527</v>
      </c>
      <c r="F330" s="3">
        <v>9.9999999999999995E-7</v>
      </c>
      <c r="J330" t="s">
        <v>16</v>
      </c>
      <c r="L330" t="s">
        <v>16</v>
      </c>
      <c r="M330" t="s">
        <v>16</v>
      </c>
      <c r="N330" t="s">
        <v>382</v>
      </c>
      <c r="O330" t="s">
        <v>383</v>
      </c>
      <c r="P330" t="s">
        <v>401</v>
      </c>
      <c r="Q330">
        <v>24529757</v>
      </c>
      <c r="R330" t="s">
        <v>775</v>
      </c>
      <c r="S330">
        <v>5.133</v>
      </c>
      <c r="T330">
        <v>500</v>
      </c>
      <c r="U330">
        <v>250</v>
      </c>
      <c r="V330">
        <v>250</v>
      </c>
      <c r="W330">
        <v>1</v>
      </c>
      <c r="X330" t="s">
        <v>402</v>
      </c>
      <c r="Z330" t="s">
        <v>760</v>
      </c>
    </row>
    <row r="331" spans="1:26" x14ac:dyDescent="0.2">
      <c r="A331" t="s">
        <v>764</v>
      </c>
      <c r="B331" t="s">
        <v>666</v>
      </c>
      <c r="D331">
        <v>3</v>
      </c>
      <c r="E331">
        <v>10484726</v>
      </c>
      <c r="F331" s="3">
        <v>6.9999999999999999E-6</v>
      </c>
      <c r="J331" t="s">
        <v>16</v>
      </c>
      <c r="L331" t="s">
        <v>16</v>
      </c>
      <c r="M331" t="s">
        <v>667</v>
      </c>
      <c r="N331" t="s">
        <v>382</v>
      </c>
      <c r="O331" t="s">
        <v>383</v>
      </c>
      <c r="P331" t="s">
        <v>401</v>
      </c>
      <c r="Q331">
        <v>24529757</v>
      </c>
      <c r="R331" t="s">
        <v>775</v>
      </c>
      <c r="S331">
        <v>5.133</v>
      </c>
      <c r="T331">
        <v>500</v>
      </c>
      <c r="U331">
        <v>250</v>
      </c>
      <c r="V331">
        <v>250</v>
      </c>
      <c r="W331">
        <v>1</v>
      </c>
      <c r="X331" t="s">
        <v>402</v>
      </c>
      <c r="Y331">
        <v>10443042</v>
      </c>
      <c r="Z331" t="s">
        <v>760</v>
      </c>
    </row>
    <row r="332" spans="1:26" x14ac:dyDescent="0.2">
      <c r="A332" t="s">
        <v>764</v>
      </c>
      <c r="B332" t="s">
        <v>668</v>
      </c>
      <c r="D332">
        <v>1</v>
      </c>
      <c r="E332">
        <v>77126373</v>
      </c>
      <c r="F332" s="3">
        <v>2.9999999999999999E-7</v>
      </c>
      <c r="J332" t="s">
        <v>16</v>
      </c>
      <c r="L332" t="s">
        <v>16</v>
      </c>
      <c r="M332" t="s">
        <v>669</v>
      </c>
      <c r="N332" t="s">
        <v>382</v>
      </c>
      <c r="O332" t="s">
        <v>383</v>
      </c>
      <c r="P332" t="s">
        <v>401</v>
      </c>
      <c r="Q332">
        <v>24529757</v>
      </c>
      <c r="R332" t="s">
        <v>775</v>
      </c>
      <c r="S332">
        <v>5.133</v>
      </c>
      <c r="T332">
        <v>500</v>
      </c>
      <c r="U332">
        <v>250</v>
      </c>
      <c r="V332">
        <v>250</v>
      </c>
      <c r="W332">
        <v>1</v>
      </c>
      <c r="X332" t="s">
        <v>402</v>
      </c>
      <c r="Y332">
        <v>76660688</v>
      </c>
      <c r="Z332" t="s">
        <v>760</v>
      </c>
    </row>
    <row r="333" spans="1:26" x14ac:dyDescent="0.2">
      <c r="A333" t="s">
        <v>764</v>
      </c>
      <c r="B333" t="s">
        <v>670</v>
      </c>
      <c r="C333" t="s">
        <v>729</v>
      </c>
      <c r="D333">
        <v>1</v>
      </c>
      <c r="E333">
        <v>155927752</v>
      </c>
      <c r="F333" s="3">
        <v>9.9999999999999995E-7</v>
      </c>
      <c r="G333" t="s">
        <v>141</v>
      </c>
      <c r="H333">
        <v>0.2</v>
      </c>
      <c r="J333" t="s">
        <v>16</v>
      </c>
      <c r="L333" t="s">
        <v>16</v>
      </c>
      <c r="M333" t="s">
        <v>671</v>
      </c>
      <c r="N333" t="s">
        <v>672</v>
      </c>
      <c r="O333" t="s">
        <v>673</v>
      </c>
      <c r="P333" t="s">
        <v>674</v>
      </c>
      <c r="Q333">
        <v>22959728</v>
      </c>
      <c r="R333" t="s">
        <v>775</v>
      </c>
      <c r="S333">
        <v>5.133</v>
      </c>
      <c r="T333">
        <v>4243</v>
      </c>
      <c r="U333">
        <v>4243</v>
      </c>
      <c r="W333">
        <v>1</v>
      </c>
      <c r="X333" t="s">
        <v>145</v>
      </c>
      <c r="Y333">
        <v>155957961</v>
      </c>
      <c r="Z333" t="s">
        <v>758</v>
      </c>
    </row>
    <row r="334" spans="1:26" x14ac:dyDescent="0.2">
      <c r="A334" t="s">
        <v>764</v>
      </c>
      <c r="B334" t="s">
        <v>675</v>
      </c>
      <c r="C334" t="s">
        <v>729</v>
      </c>
      <c r="D334">
        <v>1</v>
      </c>
      <c r="E334">
        <v>44005280</v>
      </c>
      <c r="F334" s="3">
        <v>5.0000000000000004E-6</v>
      </c>
      <c r="G334" t="s">
        <v>141</v>
      </c>
      <c r="H334">
        <v>0.23</v>
      </c>
      <c r="J334" t="s">
        <v>16</v>
      </c>
      <c r="L334" t="s">
        <v>16</v>
      </c>
      <c r="M334" t="s">
        <v>676</v>
      </c>
      <c r="N334" t="s">
        <v>672</v>
      </c>
      <c r="O334" t="s">
        <v>673</v>
      </c>
      <c r="P334" t="s">
        <v>674</v>
      </c>
      <c r="Q334">
        <v>22959728</v>
      </c>
      <c r="R334" t="s">
        <v>775</v>
      </c>
      <c r="S334">
        <v>5.133</v>
      </c>
      <c r="T334">
        <v>4243</v>
      </c>
      <c r="U334">
        <v>4243</v>
      </c>
      <c r="W334">
        <v>1</v>
      </c>
      <c r="X334" t="s">
        <v>145</v>
      </c>
      <c r="Y334">
        <v>43539609</v>
      </c>
      <c r="Z334" t="s">
        <v>758</v>
      </c>
    </row>
    <row r="335" spans="1:26" x14ac:dyDescent="0.2">
      <c r="A335" t="s">
        <v>764</v>
      </c>
      <c r="B335" t="s">
        <v>677</v>
      </c>
      <c r="C335" t="s">
        <v>732</v>
      </c>
      <c r="D335">
        <v>1</v>
      </c>
      <c r="E335">
        <v>44129779</v>
      </c>
      <c r="F335" s="3">
        <v>5.0000000000000004E-6</v>
      </c>
      <c r="G335" t="s">
        <v>141</v>
      </c>
      <c r="H335">
        <v>0.31</v>
      </c>
      <c r="J335" t="s">
        <v>16</v>
      </c>
      <c r="L335" t="s">
        <v>16</v>
      </c>
      <c r="M335" t="s">
        <v>678</v>
      </c>
      <c r="N335" t="s">
        <v>672</v>
      </c>
      <c r="O335" t="s">
        <v>673</v>
      </c>
      <c r="P335" t="s">
        <v>674</v>
      </c>
      <c r="Q335">
        <v>22959728</v>
      </c>
      <c r="R335" t="s">
        <v>775</v>
      </c>
      <c r="S335">
        <v>5.133</v>
      </c>
      <c r="T335">
        <v>4243</v>
      </c>
      <c r="U335">
        <v>4243</v>
      </c>
      <c r="W335">
        <v>1</v>
      </c>
      <c r="X335" t="s">
        <v>145</v>
      </c>
      <c r="Y335">
        <v>43664108</v>
      </c>
      <c r="Z335" t="s">
        <v>758</v>
      </c>
    </row>
    <row r="336" spans="1:26" x14ac:dyDescent="0.2">
      <c r="A336" t="s">
        <v>764</v>
      </c>
      <c r="B336" t="s">
        <v>679</v>
      </c>
      <c r="C336" t="s">
        <v>731</v>
      </c>
      <c r="D336">
        <v>5</v>
      </c>
      <c r="E336">
        <v>127151976</v>
      </c>
      <c r="F336" s="3">
        <v>7.9999999999999996E-6</v>
      </c>
      <c r="G336" t="s">
        <v>150</v>
      </c>
      <c r="H336">
        <v>0.35</v>
      </c>
      <c r="J336" t="s">
        <v>16</v>
      </c>
      <c r="L336" t="s">
        <v>16</v>
      </c>
      <c r="M336" t="s">
        <v>680</v>
      </c>
      <c r="N336" t="s">
        <v>672</v>
      </c>
      <c r="O336" t="s">
        <v>673</v>
      </c>
      <c r="P336" t="s">
        <v>674</v>
      </c>
      <c r="Q336">
        <v>22959728</v>
      </c>
      <c r="R336" t="s">
        <v>775</v>
      </c>
      <c r="S336">
        <v>5.133</v>
      </c>
      <c r="T336">
        <v>4243</v>
      </c>
      <c r="U336">
        <v>4243</v>
      </c>
      <c r="W336">
        <v>1</v>
      </c>
      <c r="X336" t="s">
        <v>145</v>
      </c>
      <c r="Y336">
        <v>127816284</v>
      </c>
      <c r="Z336" t="s">
        <v>758</v>
      </c>
    </row>
    <row r="337" spans="1:27" x14ac:dyDescent="0.2">
      <c r="A337" t="s">
        <v>764</v>
      </c>
      <c r="B337" t="s">
        <v>681</v>
      </c>
      <c r="C337" t="s">
        <v>732</v>
      </c>
      <c r="D337">
        <v>8</v>
      </c>
      <c r="E337">
        <v>19987703</v>
      </c>
      <c r="F337" s="3">
        <v>3.0000000000000001E-6</v>
      </c>
      <c r="G337" t="s">
        <v>141</v>
      </c>
      <c r="H337">
        <v>0.26</v>
      </c>
      <c r="J337" t="s">
        <v>16</v>
      </c>
      <c r="L337" t="s">
        <v>16</v>
      </c>
      <c r="M337" t="s">
        <v>682</v>
      </c>
      <c r="N337" t="s">
        <v>672</v>
      </c>
      <c r="O337" t="s">
        <v>673</v>
      </c>
      <c r="P337" t="s">
        <v>674</v>
      </c>
      <c r="Q337">
        <v>22959728</v>
      </c>
      <c r="R337" t="s">
        <v>775</v>
      </c>
      <c r="S337">
        <v>5.133</v>
      </c>
      <c r="T337">
        <v>4243</v>
      </c>
      <c r="U337">
        <v>4243</v>
      </c>
      <c r="W337">
        <v>1</v>
      </c>
      <c r="X337" t="s">
        <v>145</v>
      </c>
      <c r="Y337">
        <v>20130192</v>
      </c>
      <c r="Z337" t="s">
        <v>758</v>
      </c>
    </row>
    <row r="338" spans="1:27" x14ac:dyDescent="0.2">
      <c r="A338" t="s">
        <v>764</v>
      </c>
      <c r="B338" t="s">
        <v>683</v>
      </c>
      <c r="C338" t="s">
        <v>731</v>
      </c>
      <c r="D338">
        <v>11</v>
      </c>
      <c r="E338">
        <v>29195137</v>
      </c>
      <c r="F338" s="3">
        <v>7.9999999999999996E-6</v>
      </c>
      <c r="G338" t="s">
        <v>150</v>
      </c>
      <c r="H338">
        <v>0.31</v>
      </c>
      <c r="J338" t="s">
        <v>16</v>
      </c>
      <c r="L338" t="s">
        <v>16</v>
      </c>
      <c r="M338" t="s">
        <v>16</v>
      </c>
      <c r="N338" t="s">
        <v>672</v>
      </c>
      <c r="O338" t="s">
        <v>673</v>
      </c>
      <c r="P338" t="s">
        <v>674</v>
      </c>
      <c r="Q338">
        <v>22959728</v>
      </c>
      <c r="R338" t="s">
        <v>775</v>
      </c>
      <c r="S338">
        <v>5.133</v>
      </c>
      <c r="T338">
        <v>4243</v>
      </c>
      <c r="U338">
        <v>4243</v>
      </c>
      <c r="W338">
        <v>1</v>
      </c>
      <c r="X338" t="s">
        <v>145</v>
      </c>
      <c r="Y338">
        <v>29173590</v>
      </c>
      <c r="Z338" t="s">
        <v>758</v>
      </c>
    </row>
    <row r="339" spans="1:27" x14ac:dyDescent="0.2">
      <c r="A339" t="s">
        <v>764</v>
      </c>
      <c r="B339" t="s">
        <v>684</v>
      </c>
      <c r="C339" t="s">
        <v>732</v>
      </c>
      <c r="D339">
        <v>12</v>
      </c>
      <c r="E339">
        <v>70690085</v>
      </c>
      <c r="F339" s="3">
        <v>5.0000000000000004E-6</v>
      </c>
      <c r="G339" t="s">
        <v>150</v>
      </c>
      <c r="H339">
        <v>0.13</v>
      </c>
      <c r="J339" t="s">
        <v>16</v>
      </c>
      <c r="L339" t="s">
        <v>16</v>
      </c>
      <c r="M339" t="s">
        <v>685</v>
      </c>
      <c r="N339" t="s">
        <v>672</v>
      </c>
      <c r="O339" t="s">
        <v>673</v>
      </c>
      <c r="P339" t="s">
        <v>674</v>
      </c>
      <c r="Q339">
        <v>22959728</v>
      </c>
      <c r="R339" t="s">
        <v>775</v>
      </c>
      <c r="S339">
        <v>5.133</v>
      </c>
      <c r="T339">
        <v>4243</v>
      </c>
      <c r="U339">
        <v>4243</v>
      </c>
      <c r="W339">
        <v>1</v>
      </c>
      <c r="X339" t="s">
        <v>145</v>
      </c>
      <c r="Y339">
        <v>70296305</v>
      </c>
      <c r="Z339" t="s">
        <v>758</v>
      </c>
    </row>
    <row r="340" spans="1:27" x14ac:dyDescent="0.2">
      <c r="A340" t="s">
        <v>764</v>
      </c>
      <c r="B340" t="s">
        <v>686</v>
      </c>
      <c r="C340" t="s">
        <v>732</v>
      </c>
      <c r="D340">
        <v>14</v>
      </c>
      <c r="E340">
        <v>80002096</v>
      </c>
      <c r="F340" s="3">
        <v>6.0000000000000002E-6</v>
      </c>
      <c r="G340" t="s">
        <v>141</v>
      </c>
      <c r="H340">
        <v>0.28999999999999998</v>
      </c>
      <c r="J340" t="s">
        <v>16</v>
      </c>
      <c r="L340" t="s">
        <v>16</v>
      </c>
      <c r="M340" t="s">
        <v>687</v>
      </c>
      <c r="N340" t="s">
        <v>672</v>
      </c>
      <c r="O340" t="s">
        <v>673</v>
      </c>
      <c r="P340" t="s">
        <v>674</v>
      </c>
      <c r="Q340">
        <v>22959728</v>
      </c>
      <c r="R340" t="s">
        <v>775</v>
      </c>
      <c r="S340">
        <v>5.133</v>
      </c>
      <c r="T340">
        <v>4243</v>
      </c>
      <c r="U340">
        <v>4243</v>
      </c>
      <c r="W340">
        <v>1</v>
      </c>
      <c r="X340" t="s">
        <v>145</v>
      </c>
      <c r="Y340">
        <v>79535753</v>
      </c>
      <c r="Z340" t="s">
        <v>758</v>
      </c>
    </row>
    <row r="341" spans="1:27" x14ac:dyDescent="0.2">
      <c r="A341" t="s">
        <v>764</v>
      </c>
      <c r="B341" t="s">
        <v>688</v>
      </c>
      <c r="C341" t="s">
        <v>730</v>
      </c>
      <c r="D341">
        <v>1</v>
      </c>
      <c r="E341">
        <v>44319373</v>
      </c>
      <c r="F341" s="3">
        <v>7.0000000000000005E-8</v>
      </c>
      <c r="G341" t="s">
        <v>150</v>
      </c>
      <c r="H341">
        <v>0.22</v>
      </c>
      <c r="J341" t="s">
        <v>16</v>
      </c>
      <c r="L341" t="s">
        <v>16</v>
      </c>
      <c r="M341" t="s">
        <v>689</v>
      </c>
      <c r="N341" t="s">
        <v>672</v>
      </c>
      <c r="O341" t="s">
        <v>673</v>
      </c>
      <c r="P341" t="s">
        <v>674</v>
      </c>
      <c r="Q341">
        <v>22959728</v>
      </c>
      <c r="R341" t="s">
        <v>775</v>
      </c>
      <c r="S341">
        <v>5.133</v>
      </c>
      <c r="T341">
        <v>4243</v>
      </c>
      <c r="U341">
        <v>4243</v>
      </c>
      <c r="W341">
        <v>1</v>
      </c>
      <c r="X341" t="s">
        <v>145</v>
      </c>
      <c r="Y341">
        <v>43853701</v>
      </c>
      <c r="Z341" t="s">
        <v>758</v>
      </c>
    </row>
    <row r="342" spans="1:27" x14ac:dyDescent="0.2">
      <c r="A342" t="s">
        <v>764</v>
      </c>
      <c r="B342" t="s">
        <v>690</v>
      </c>
      <c r="C342" t="s">
        <v>731</v>
      </c>
      <c r="D342">
        <v>4</v>
      </c>
      <c r="E342">
        <v>36079594</v>
      </c>
      <c r="F342" s="3">
        <v>4.9999999999999998E-7</v>
      </c>
      <c r="G342" t="s">
        <v>150</v>
      </c>
      <c r="H342">
        <v>0.39</v>
      </c>
      <c r="J342" t="s">
        <v>16</v>
      </c>
      <c r="L342" t="s">
        <v>16</v>
      </c>
      <c r="M342" t="s">
        <v>691</v>
      </c>
      <c r="N342" t="s">
        <v>672</v>
      </c>
      <c r="O342" t="s">
        <v>673</v>
      </c>
      <c r="P342" t="s">
        <v>674</v>
      </c>
      <c r="Q342">
        <v>22959728</v>
      </c>
      <c r="R342" t="s">
        <v>775</v>
      </c>
      <c r="S342">
        <v>5.133</v>
      </c>
      <c r="T342">
        <v>4243</v>
      </c>
      <c r="U342">
        <v>4243</v>
      </c>
      <c r="W342">
        <v>1</v>
      </c>
      <c r="X342" t="s">
        <v>145</v>
      </c>
      <c r="Y342">
        <v>36077972</v>
      </c>
      <c r="Z342" t="s">
        <v>758</v>
      </c>
    </row>
    <row r="343" spans="1:27" x14ac:dyDescent="0.2">
      <c r="A343" t="s">
        <v>764</v>
      </c>
      <c r="B343" t="s">
        <v>692</v>
      </c>
      <c r="C343" t="s">
        <v>730</v>
      </c>
      <c r="D343">
        <v>7</v>
      </c>
      <c r="E343">
        <v>112094743</v>
      </c>
      <c r="F343" s="3">
        <v>1.9999999999999999E-6</v>
      </c>
      <c r="G343" t="s">
        <v>141</v>
      </c>
      <c r="H343">
        <v>0.06</v>
      </c>
      <c r="J343" t="s">
        <v>16</v>
      </c>
      <c r="L343" t="s">
        <v>16</v>
      </c>
      <c r="M343" t="s">
        <v>693</v>
      </c>
      <c r="N343" t="s">
        <v>672</v>
      </c>
      <c r="O343" t="s">
        <v>673</v>
      </c>
      <c r="P343" t="s">
        <v>674</v>
      </c>
      <c r="Q343">
        <v>22959728</v>
      </c>
      <c r="R343" t="s">
        <v>775</v>
      </c>
      <c r="S343">
        <v>5.133</v>
      </c>
      <c r="T343">
        <v>4243</v>
      </c>
      <c r="U343">
        <v>4243</v>
      </c>
      <c r="W343">
        <v>1</v>
      </c>
      <c r="X343" t="s">
        <v>145</v>
      </c>
      <c r="Y343">
        <v>112454688</v>
      </c>
      <c r="Z343" t="s">
        <v>758</v>
      </c>
    </row>
    <row r="344" spans="1:27" x14ac:dyDescent="0.2">
      <c r="A344" t="s">
        <v>764</v>
      </c>
      <c r="B344" t="s">
        <v>694</v>
      </c>
      <c r="C344" t="s">
        <v>730</v>
      </c>
      <c r="D344">
        <v>9</v>
      </c>
      <c r="E344">
        <v>78665776</v>
      </c>
      <c r="F344" s="3">
        <v>6.9999999999999999E-6</v>
      </c>
      <c r="G344" t="s">
        <v>141</v>
      </c>
      <c r="H344">
        <v>0.41</v>
      </c>
      <c r="J344" t="s">
        <v>16</v>
      </c>
      <c r="L344" t="s">
        <v>16</v>
      </c>
      <c r="M344" t="s">
        <v>695</v>
      </c>
      <c r="N344" t="s">
        <v>672</v>
      </c>
      <c r="O344" t="s">
        <v>673</v>
      </c>
      <c r="P344" t="s">
        <v>674</v>
      </c>
      <c r="Q344">
        <v>22959728</v>
      </c>
      <c r="R344" t="s">
        <v>775</v>
      </c>
      <c r="S344">
        <v>5.133</v>
      </c>
      <c r="T344">
        <v>4243</v>
      </c>
      <c r="U344">
        <v>4243</v>
      </c>
      <c r="W344">
        <v>1</v>
      </c>
      <c r="X344" t="s">
        <v>145</v>
      </c>
      <c r="Y344">
        <v>76050860</v>
      </c>
      <c r="Z344" t="s">
        <v>758</v>
      </c>
    </row>
    <row r="345" spans="1:27" x14ac:dyDescent="0.2">
      <c r="A345" t="s">
        <v>764</v>
      </c>
      <c r="B345" t="s">
        <v>696</v>
      </c>
      <c r="C345" t="s">
        <v>732</v>
      </c>
      <c r="D345">
        <v>12</v>
      </c>
      <c r="E345">
        <v>99190372</v>
      </c>
      <c r="F345" s="3">
        <v>7.9999999999999996E-6</v>
      </c>
      <c r="G345" t="s">
        <v>141</v>
      </c>
      <c r="H345">
        <v>0.41</v>
      </c>
      <c r="J345" t="s">
        <v>16</v>
      </c>
      <c r="L345" t="s">
        <v>16</v>
      </c>
      <c r="M345" t="s">
        <v>697</v>
      </c>
      <c r="N345" t="s">
        <v>672</v>
      </c>
      <c r="O345" t="s">
        <v>673</v>
      </c>
      <c r="P345" t="s">
        <v>674</v>
      </c>
      <c r="Q345">
        <v>22959728</v>
      </c>
      <c r="R345" t="s">
        <v>775</v>
      </c>
      <c r="S345">
        <v>5.133</v>
      </c>
      <c r="T345">
        <v>4243</v>
      </c>
      <c r="U345">
        <v>4243</v>
      </c>
      <c r="W345">
        <v>1</v>
      </c>
      <c r="X345" t="s">
        <v>145</v>
      </c>
      <c r="Y345">
        <v>98796594</v>
      </c>
      <c r="Z345" t="s">
        <v>758</v>
      </c>
    </row>
    <row r="346" spans="1:27" x14ac:dyDescent="0.2">
      <c r="A346" t="s">
        <v>764</v>
      </c>
      <c r="B346" t="s">
        <v>698</v>
      </c>
      <c r="D346">
        <v>17</v>
      </c>
      <c r="E346">
        <v>45607572</v>
      </c>
      <c r="F346" s="3">
        <v>4.9999999999999998E-7</v>
      </c>
      <c r="H346" s="9">
        <v>0.5</v>
      </c>
      <c r="J346" t="s">
        <v>16</v>
      </c>
      <c r="L346" t="s">
        <v>16</v>
      </c>
      <c r="M346" t="s">
        <v>699</v>
      </c>
      <c r="N346" t="s">
        <v>700</v>
      </c>
      <c r="O346" t="s">
        <v>701</v>
      </c>
      <c r="P346" t="s">
        <v>702</v>
      </c>
      <c r="Q346">
        <v>24234648</v>
      </c>
      <c r="R346" t="s">
        <v>778</v>
      </c>
      <c r="S346">
        <v>6.15</v>
      </c>
      <c r="T346">
        <v>19880</v>
      </c>
      <c r="U346">
        <v>7850</v>
      </c>
      <c r="V346">
        <v>12030</v>
      </c>
      <c r="W346">
        <v>1</v>
      </c>
      <c r="X346" t="s">
        <v>703</v>
      </c>
      <c r="Y346">
        <v>47530206</v>
      </c>
      <c r="Z346" t="s">
        <v>758</v>
      </c>
    </row>
    <row r="347" spans="1:27" x14ac:dyDescent="0.2">
      <c r="A347" t="s">
        <v>764</v>
      </c>
      <c r="B347" t="s">
        <v>704</v>
      </c>
      <c r="D347">
        <v>8</v>
      </c>
      <c r="E347">
        <v>126082565</v>
      </c>
      <c r="F347" s="3">
        <v>9.9999999999999995E-8</v>
      </c>
      <c r="H347">
        <v>0.9</v>
      </c>
      <c r="I347" s="7">
        <v>1.22</v>
      </c>
      <c r="J347" t="s">
        <v>16</v>
      </c>
      <c r="K347" s="7">
        <f>LN(I347)</f>
        <v>0.19885085874516517</v>
      </c>
      <c r="L347" t="s">
        <v>31</v>
      </c>
      <c r="M347" t="s">
        <v>705</v>
      </c>
      <c r="N347" t="s">
        <v>706</v>
      </c>
      <c r="O347" t="s">
        <v>707</v>
      </c>
      <c r="P347" t="s">
        <v>708</v>
      </c>
      <c r="Q347">
        <v>24931836</v>
      </c>
      <c r="R347" t="s">
        <v>781</v>
      </c>
      <c r="S347">
        <v>10.42</v>
      </c>
      <c r="T347">
        <v>19243</v>
      </c>
      <c r="U347">
        <v>4812</v>
      </c>
      <c r="V347">
        <v>14431</v>
      </c>
      <c r="W347">
        <v>1</v>
      </c>
      <c r="X347" t="s">
        <v>264</v>
      </c>
      <c r="Y347">
        <v>125070323</v>
      </c>
      <c r="Z347" t="s">
        <v>758</v>
      </c>
    </row>
    <row r="348" spans="1:27" x14ac:dyDescent="0.2">
      <c r="A348" t="s">
        <v>764</v>
      </c>
      <c r="B348" t="s">
        <v>709</v>
      </c>
      <c r="D348">
        <v>10</v>
      </c>
      <c r="E348">
        <v>94284069</v>
      </c>
      <c r="F348" s="3">
        <v>2.0000000000000001E-9</v>
      </c>
      <c r="H348" s="9">
        <v>2.92E-2</v>
      </c>
      <c r="I348" s="8">
        <f>EXP(0.4807)</f>
        <v>1.6172060503050587</v>
      </c>
      <c r="J348" t="s">
        <v>710</v>
      </c>
      <c r="K348" s="7" cm="1">
        <f t="array" ref="K348:K351">LN(I348:I351)</f>
        <v>0.48070000000000002</v>
      </c>
      <c r="L348" t="s">
        <v>31</v>
      </c>
      <c r="M348" t="s">
        <v>711</v>
      </c>
      <c r="N348" t="s">
        <v>712</v>
      </c>
      <c r="O348" t="s">
        <v>713</v>
      </c>
      <c r="P348" t="s">
        <v>714</v>
      </c>
      <c r="Q348">
        <v>27244217</v>
      </c>
      <c r="R348" t="s">
        <v>786</v>
      </c>
      <c r="S348">
        <v>29.91</v>
      </c>
      <c r="T348">
        <v>4256</v>
      </c>
      <c r="U348">
        <v>4256</v>
      </c>
      <c r="W348">
        <v>1</v>
      </c>
      <c r="X348" t="s">
        <v>393</v>
      </c>
      <c r="Y348">
        <v>92524312</v>
      </c>
      <c r="Z348" t="s">
        <v>758</v>
      </c>
      <c r="AA348" t="s">
        <v>737</v>
      </c>
    </row>
    <row r="349" spans="1:27" x14ac:dyDescent="0.2">
      <c r="A349" t="s">
        <v>764</v>
      </c>
      <c r="B349" t="s">
        <v>715</v>
      </c>
      <c r="D349">
        <v>1</v>
      </c>
      <c r="E349">
        <v>7092782</v>
      </c>
      <c r="F349" s="3">
        <v>4.0000000000000001E-8</v>
      </c>
      <c r="H349" s="9">
        <v>0.73939999999999995</v>
      </c>
      <c r="I349" s="8">
        <f>EXP(-0.1617)</f>
        <v>0.85069637517527652</v>
      </c>
      <c r="J349" t="s">
        <v>716</v>
      </c>
      <c r="K349" s="7">
        <v>-0.16170000000000004</v>
      </c>
      <c r="L349" t="s">
        <v>31</v>
      </c>
      <c r="M349" t="s">
        <v>717</v>
      </c>
      <c r="N349" t="s">
        <v>712</v>
      </c>
      <c r="O349" t="s">
        <v>713</v>
      </c>
      <c r="P349" t="s">
        <v>714</v>
      </c>
      <c r="Q349">
        <v>27244217</v>
      </c>
      <c r="R349" t="s">
        <v>786</v>
      </c>
      <c r="S349">
        <v>29.91</v>
      </c>
      <c r="T349">
        <v>4256</v>
      </c>
      <c r="U349">
        <v>4256</v>
      </c>
      <c r="W349">
        <v>1</v>
      </c>
      <c r="X349" t="s">
        <v>393</v>
      </c>
      <c r="Y349">
        <v>7032722</v>
      </c>
      <c r="Z349" t="s">
        <v>758</v>
      </c>
      <c r="AA349" t="s">
        <v>737</v>
      </c>
    </row>
    <row r="350" spans="1:27" x14ac:dyDescent="0.2">
      <c r="A350" t="s">
        <v>764</v>
      </c>
      <c r="B350" t="s">
        <v>718</v>
      </c>
      <c r="D350">
        <v>8</v>
      </c>
      <c r="E350">
        <v>18424731</v>
      </c>
      <c r="F350" s="3">
        <v>2.9999999999999999E-7</v>
      </c>
      <c r="H350" s="9">
        <v>0.94620000000000004</v>
      </c>
      <c r="I350" s="8">
        <f>EXP(-0.3112)</f>
        <v>0.73256734774745924</v>
      </c>
      <c r="J350" t="s">
        <v>719</v>
      </c>
      <c r="K350" s="7">
        <v>-0.31119999999999998</v>
      </c>
      <c r="L350" t="s">
        <v>31</v>
      </c>
      <c r="M350" t="s">
        <v>720</v>
      </c>
      <c r="N350" t="s">
        <v>712</v>
      </c>
      <c r="O350" t="s">
        <v>713</v>
      </c>
      <c r="P350" t="s">
        <v>714</v>
      </c>
      <c r="Q350">
        <v>27244217</v>
      </c>
      <c r="R350" t="s">
        <v>786</v>
      </c>
      <c r="S350">
        <v>29.91</v>
      </c>
      <c r="T350">
        <v>4256</v>
      </c>
      <c r="U350">
        <v>4256</v>
      </c>
      <c r="W350">
        <v>1</v>
      </c>
      <c r="X350" t="s">
        <v>393</v>
      </c>
      <c r="Y350">
        <v>18567221</v>
      </c>
      <c r="Z350" t="s">
        <v>758</v>
      </c>
    </row>
    <row r="351" spans="1:27" x14ac:dyDescent="0.2">
      <c r="A351" t="s">
        <v>764</v>
      </c>
      <c r="B351" t="s">
        <v>721</v>
      </c>
      <c r="D351">
        <v>2</v>
      </c>
      <c r="E351">
        <v>194578775</v>
      </c>
      <c r="F351" s="3">
        <v>4.9999999999999998E-7</v>
      </c>
      <c r="H351" s="9">
        <v>0.97019999999999995</v>
      </c>
      <c r="I351" s="8">
        <f>EXP(-0.4722)</f>
        <v>0.62362877468940714</v>
      </c>
      <c r="J351" t="s">
        <v>722</v>
      </c>
      <c r="K351" s="7">
        <v>-0.47220000000000006</v>
      </c>
      <c r="L351" t="s">
        <v>31</v>
      </c>
      <c r="M351" t="s">
        <v>723</v>
      </c>
      <c r="N351" t="s">
        <v>712</v>
      </c>
      <c r="O351" t="s">
        <v>713</v>
      </c>
      <c r="P351" t="s">
        <v>714</v>
      </c>
      <c r="Q351">
        <v>27244217</v>
      </c>
      <c r="R351" t="s">
        <v>786</v>
      </c>
      <c r="S351">
        <v>29.91</v>
      </c>
      <c r="T351">
        <v>4256</v>
      </c>
      <c r="U351">
        <v>4256</v>
      </c>
      <c r="W351">
        <v>1</v>
      </c>
      <c r="X351" t="s">
        <v>393</v>
      </c>
      <c r="Y351">
        <v>193714051</v>
      </c>
      <c r="Z351" t="s">
        <v>758</v>
      </c>
    </row>
    <row r="352" spans="1:27" x14ac:dyDescent="0.2">
      <c r="A352" t="s">
        <v>764</v>
      </c>
      <c r="B352" t="s">
        <v>724</v>
      </c>
      <c r="D352">
        <v>4</v>
      </c>
      <c r="E352">
        <v>27904556</v>
      </c>
      <c r="F352" s="3">
        <v>7.9999999999999996E-7</v>
      </c>
      <c r="H352" s="9">
        <v>0.04</v>
      </c>
      <c r="J352" t="s">
        <v>725</v>
      </c>
      <c r="K352" s="7">
        <v>0.30470000000000003</v>
      </c>
      <c r="L352" t="s">
        <v>31</v>
      </c>
      <c r="M352" t="s">
        <v>16</v>
      </c>
      <c r="N352" t="s">
        <v>712</v>
      </c>
      <c r="O352" t="s">
        <v>713</v>
      </c>
      <c r="P352" t="s">
        <v>714</v>
      </c>
      <c r="Q352">
        <v>27244217</v>
      </c>
      <c r="R352" t="s">
        <v>786</v>
      </c>
      <c r="S352">
        <v>29.91</v>
      </c>
      <c r="T352">
        <v>4256</v>
      </c>
      <c r="U352">
        <v>4256</v>
      </c>
      <c r="W352">
        <v>1</v>
      </c>
      <c r="X352" t="s">
        <v>393</v>
      </c>
      <c r="Y352">
        <v>27902934</v>
      </c>
      <c r="Z352" t="s">
        <v>758</v>
      </c>
    </row>
    <row r="353" spans="1:26" x14ac:dyDescent="0.2">
      <c r="A353" t="s">
        <v>764</v>
      </c>
      <c r="B353" t="s">
        <v>726</v>
      </c>
      <c r="D353">
        <v>3</v>
      </c>
      <c r="E353">
        <v>143348245</v>
      </c>
      <c r="F353" s="3">
        <v>5.9999999999999997E-7</v>
      </c>
      <c r="H353" s="9">
        <v>0.97570000000000001</v>
      </c>
      <c r="I353" s="8">
        <f>EXP(-0.4727)</f>
        <v>0.62331703824266871</v>
      </c>
      <c r="J353" t="s">
        <v>727</v>
      </c>
      <c r="K353" s="7">
        <f>LN(I353)</f>
        <v>-0.47269999999999995</v>
      </c>
      <c r="L353" t="s">
        <v>31</v>
      </c>
      <c r="M353" t="s">
        <v>728</v>
      </c>
      <c r="N353" t="s">
        <v>712</v>
      </c>
      <c r="O353" t="s">
        <v>713</v>
      </c>
      <c r="P353" t="s">
        <v>714</v>
      </c>
      <c r="Q353">
        <v>27244217</v>
      </c>
      <c r="R353" t="s">
        <v>786</v>
      </c>
      <c r="S353">
        <v>29.91</v>
      </c>
      <c r="T353">
        <v>4256</v>
      </c>
      <c r="U353">
        <v>4256</v>
      </c>
      <c r="W353">
        <v>1</v>
      </c>
      <c r="X353" t="s">
        <v>393</v>
      </c>
      <c r="Y353">
        <v>143629403</v>
      </c>
      <c r="Z353" t="s">
        <v>758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Zheyang</cp:lastModifiedBy>
  <dcterms:created xsi:type="dcterms:W3CDTF">2023-01-18T23:22:16Z</dcterms:created>
  <dcterms:modified xsi:type="dcterms:W3CDTF">2025-11-13T22:37:26Z</dcterms:modified>
</cp:coreProperties>
</file>